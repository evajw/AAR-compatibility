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jwes\Documents\DC\Project_AAR\database\"/>
    </mc:Choice>
  </mc:AlternateContent>
  <xr:revisionPtr revIDLastSave="0" documentId="13_ncr:1_{B63A32F6-D739-45CD-844D-30A911634973}" xr6:coauthVersionLast="47" xr6:coauthVersionMax="47" xr10:uidLastSave="{00000000-0000-0000-0000-000000000000}"/>
  <bookViews>
    <workbookView xWindow="-108" yWindow="-108" windowWidth="23256" windowHeight="12456" firstSheet="12" activeTab="20" xr2:uid="{C3389D4E-ADE2-4E83-940C-EE3414B70919}"/>
  </bookViews>
  <sheets>
    <sheet name="Tankers" sheetId="1" r:id="rId1"/>
    <sheet name="Receivers" sheetId="2" r:id="rId2"/>
    <sheet name="Specifications" sheetId="3" r:id="rId3"/>
    <sheet name="Australia" sheetId="4" r:id="rId4"/>
    <sheet name="Canada" sheetId="5" r:id="rId5"/>
    <sheet name="France" sheetId="6" r:id="rId6"/>
    <sheet name="Germany" sheetId="7" r:id="rId7"/>
    <sheet name="Italy" sheetId="8" r:id="rId8"/>
    <sheet name="Japan" sheetId="9" r:id="rId9"/>
    <sheet name="Malaysia" sheetId="10" r:id="rId10"/>
    <sheet name="MMF" sheetId="11" r:id="rId11"/>
    <sheet name="MSM" sheetId="12" r:id="rId12"/>
    <sheet name="NATO" sheetId="13" r:id="rId13"/>
    <sheet name="Omega" sheetId="14" r:id="rId14"/>
    <sheet name="Singapore" sheetId="15" r:id="rId15"/>
    <sheet name="South Korea" sheetId="16" r:id="rId16"/>
    <sheet name="Spain" sheetId="17" r:id="rId17"/>
    <sheet name="Sweden" sheetId="18" r:id="rId18"/>
    <sheet name="Turkey" sheetId="19" r:id="rId19"/>
    <sheet name="UK" sheetId="20" r:id="rId20"/>
    <sheet name="USA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 a="1"/>
  <c r="A2" i="4" s="1"/>
  <c r="A1" i="4" a="1"/>
  <c r="A1" i="4" s="1"/>
  <c r="A2" i="21" a="1"/>
  <c r="A2" i="21" s="1"/>
  <c r="A2" i="20" a="1"/>
  <c r="A2" i="20" s="1"/>
  <c r="A2" i="19" a="1"/>
  <c r="A2" i="19" s="1"/>
  <c r="A2" i="18" a="1"/>
  <c r="A2" i="18" s="1"/>
  <c r="A2" i="17" a="1"/>
  <c r="A2" i="17" s="1"/>
  <c r="A2" i="16" a="1"/>
  <c r="A2" i="16" s="1"/>
  <c r="A2" i="15" a="1"/>
  <c r="A2" i="15" s="1"/>
  <c r="A2" i="14" a="1"/>
  <c r="A2" i="14" s="1"/>
  <c r="A2" i="13" a="1"/>
  <c r="A2" i="13" s="1"/>
  <c r="A2" i="12" a="1"/>
  <c r="A2" i="12" s="1"/>
  <c r="A2" i="11" a="1"/>
  <c r="A2" i="11" s="1"/>
  <c r="A2" i="10" a="1"/>
  <c r="A2" i="10" s="1"/>
  <c r="A2" i="9" a="1"/>
  <c r="A2" i="9" s="1"/>
  <c r="A2" i="8" a="1"/>
  <c r="A2" i="8" s="1"/>
  <c r="A2" i="7" a="1"/>
  <c r="A2" i="7" s="1"/>
  <c r="A2" i="6" a="1"/>
  <c r="A2" i="6" s="1"/>
  <c r="A2" i="5" a="1"/>
  <c r="A2" i="5" s="1"/>
  <c r="A2" i="2" a="1"/>
  <c r="A2" i="2" s="1"/>
  <c r="A2" i="1" a="1"/>
  <c r="A2" i="1" s="1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7" i="3"/>
  <c r="O58" i="3"/>
  <c r="O52" i="3"/>
  <c r="O53" i="3"/>
  <c r="O54" i="3"/>
  <c r="O55" i="3"/>
  <c r="O56" i="3"/>
  <c r="O51" i="3"/>
  <c r="O50" i="3"/>
  <c r="O49" i="3"/>
  <c r="O48" i="3"/>
  <c r="O47" i="3"/>
  <c r="O46" i="3"/>
  <c r="O40" i="3"/>
  <c r="O41" i="3"/>
  <c r="O43" i="3"/>
  <c r="O42" i="3"/>
  <c r="O5" i="3"/>
  <c r="O4" i="3"/>
  <c r="O37" i="3"/>
  <c r="O36" i="3"/>
  <c r="O35" i="3"/>
  <c r="O34" i="3"/>
  <c r="O33" i="3"/>
  <c r="O32" i="3"/>
  <c r="O31" i="3"/>
  <c r="O39" i="3"/>
  <c r="O30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14" i="3"/>
  <c r="O13" i="3"/>
  <c r="O12" i="3"/>
  <c r="O11" i="3"/>
  <c r="O38" i="3"/>
  <c r="O8" i="3"/>
  <c r="O7" i="3"/>
  <c r="O6" i="3"/>
  <c r="O10" i="3"/>
  <c r="O9" i="3"/>
  <c r="O3" i="3"/>
  <c r="O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Westerhout</author>
  </authors>
  <commentList>
    <comment ref="J1" authorId="0" shapeId="0" xr:uid="{71E2AE10-121E-44C8-BBF0-103A9028A4F3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
</t>
        </r>
      </text>
    </comment>
    <comment ref="K1" authorId="0" shapeId="0" xr:uid="{4180C20E-59F3-4082-8825-4053FDD52A56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</t>
        </r>
      </text>
    </comment>
    <comment ref="L1" authorId="0" shapeId="0" xr:uid="{BCB96D27-113E-4F19-89F7-D0DFFF8F1058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M1" authorId="0" shapeId="0" xr:uid="{55292F11-C395-4867-B1D5-BEE470D6C386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O1" authorId="0" shapeId="0" xr:uid="{3DB286AB-D725-4CD4-A431-594E03D27E6D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lb/min
</t>
        </r>
      </text>
    </comment>
    <comment ref="L112" authorId="0" shapeId="0" xr:uid="{A2390C21-8299-4ED1-82F5-00EBFBC26862}">
      <text>
        <r>
          <rPr>
            <b/>
            <sz val="9"/>
            <color indexed="81"/>
            <rFont val="Tahoma"/>
            <family val="2"/>
          </rPr>
          <t>Eva Westerhout:</t>
        </r>
        <r>
          <rPr>
            <sz val="9"/>
            <color indexed="81"/>
            <rFont val="Tahoma"/>
            <family val="2"/>
          </rPr>
          <t xml:space="preserve">
KIAS
</t>
        </r>
      </text>
    </comment>
    <comment ref="L124" authorId="0" shapeId="0" xr:uid="{C9F96F53-9459-4697-BC58-6FA280A7F7F2}">
      <text>
        <r>
          <rPr>
            <b/>
            <sz val="9"/>
            <color indexed="81"/>
            <rFont val="Tahoma"/>
            <family val="2"/>
          </rPr>
          <t>Eva Westerhout:</t>
        </r>
        <r>
          <rPr>
            <sz val="9"/>
            <color indexed="81"/>
            <rFont val="Tahoma"/>
            <family val="2"/>
          </rPr>
          <t xml:space="preserve">
KIAS
</t>
        </r>
      </text>
    </comment>
    <comment ref="L129" authorId="0" shapeId="0" xr:uid="{4FC8B6A6-E63D-4CAD-913A-5DC0AB2076A0}">
      <text>
        <r>
          <rPr>
            <b/>
            <sz val="9"/>
            <color indexed="81"/>
            <rFont val="Tahoma"/>
            <family val="2"/>
          </rPr>
          <t>Eva Westerhout:</t>
        </r>
        <r>
          <rPr>
            <sz val="9"/>
            <color indexed="81"/>
            <rFont val="Tahoma"/>
            <family val="2"/>
          </rPr>
          <t xml:space="preserve">
KIAS
</t>
        </r>
      </text>
    </comment>
    <comment ref="L131" authorId="0" shapeId="0" xr:uid="{657567D9-30C3-4B7E-894C-8C452A946EFC}">
      <text>
        <r>
          <rPr>
            <b/>
            <sz val="9"/>
            <color indexed="81"/>
            <rFont val="Tahoma"/>
            <family val="2"/>
          </rPr>
          <t>Eva Westerhout:</t>
        </r>
        <r>
          <rPr>
            <sz val="9"/>
            <color indexed="81"/>
            <rFont val="Tahoma"/>
            <family val="2"/>
          </rPr>
          <t xml:space="preserve">
KIAS
</t>
        </r>
      </text>
    </comment>
    <comment ref="L138" authorId="0" shapeId="0" xr:uid="{1649278E-A34D-49A7-A1F3-E37A3C968E0E}">
      <text>
        <r>
          <rPr>
            <b/>
            <sz val="9"/>
            <color indexed="81"/>
            <rFont val="Tahoma"/>
            <family val="2"/>
          </rPr>
          <t>Eva Westerhout:</t>
        </r>
        <r>
          <rPr>
            <sz val="9"/>
            <color indexed="81"/>
            <rFont val="Tahoma"/>
            <family val="2"/>
          </rPr>
          <t xml:space="preserve">
KIAS
</t>
        </r>
      </text>
    </comment>
    <comment ref="L140" authorId="0" shapeId="0" xr:uid="{2772F53C-A0AE-4080-B1F6-DE932306D230}">
      <text>
        <r>
          <rPr>
            <b/>
            <sz val="9"/>
            <color indexed="81"/>
            <rFont val="Tahoma"/>
            <family val="2"/>
          </rPr>
          <t>Eva Westerhout:</t>
        </r>
        <r>
          <rPr>
            <sz val="9"/>
            <color indexed="81"/>
            <rFont val="Tahoma"/>
            <family val="2"/>
          </rPr>
          <t xml:space="preserve">
KIAS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Westerhout</author>
  </authors>
  <commentList>
    <comment ref="I1" authorId="0" shapeId="0" xr:uid="{C1F99F37-00A8-4128-8161-B47D0FAA1709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
</t>
        </r>
      </text>
    </comment>
    <comment ref="J1" authorId="0" shapeId="0" xr:uid="{79FC2978-4423-4F3F-A32B-7EBC510BBB44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</t>
        </r>
      </text>
    </comment>
    <comment ref="K1" authorId="0" shapeId="0" xr:uid="{13E8EC33-FCB0-4BC3-954C-B5AD58C36638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L1" authorId="0" shapeId="0" xr:uid="{5FD1AF75-8D3C-4202-91F9-041F4EA7CBA1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N1" authorId="0" shapeId="0" xr:uid="{1A8D2E22-E73D-4064-832A-CA77B4C92DFD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lb/min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Westerhout</author>
  </authors>
  <commentList>
    <comment ref="Z4" authorId="0" shapeId="0" xr:uid="{E219E98B-2F48-4569-B3BE-843DBA8072C9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
</t>
        </r>
      </text>
    </comment>
    <comment ref="AA4" authorId="0" shapeId="0" xr:uid="{B30E2C9B-45EC-41C8-8E62-7BE76525DAA1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FL</t>
        </r>
      </text>
    </comment>
    <comment ref="AB4" authorId="0" shapeId="0" xr:uid="{454641A2-7C70-48BD-B284-F45A6842D531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AC4" authorId="0" shapeId="0" xr:uid="{BE00D8C3-D5F6-4C42-9823-F2A373250DA9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KCAS
</t>
        </r>
      </text>
    </comment>
    <comment ref="AE4" authorId="0" shapeId="0" xr:uid="{CA480884-B044-418C-8844-584E3D76E769}">
      <text>
        <r>
          <rPr>
            <b/>
            <sz val="9"/>
            <color indexed="81"/>
            <rFont val="Tahoma"/>
            <charset val="1"/>
          </rPr>
          <t>Eva Westerhout:</t>
        </r>
        <r>
          <rPr>
            <sz val="9"/>
            <color indexed="81"/>
            <rFont val="Tahoma"/>
            <charset val="1"/>
          </rPr>
          <t xml:space="preserve">
lb/min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<sst xmlns="http://schemas.openxmlformats.org/spreadsheetml/2006/main" count="1473" uniqueCount="131">
  <si>
    <t>C-17</t>
  </si>
  <si>
    <t>USA</t>
  </si>
  <si>
    <t>Australia</t>
  </si>
  <si>
    <t>type</t>
  </si>
  <si>
    <t>model</t>
  </si>
  <si>
    <t>nation</t>
  </si>
  <si>
    <t>fuel_flow_rate</t>
  </si>
  <si>
    <t>max_alt</t>
  </si>
  <si>
    <t>min_as</t>
  </si>
  <si>
    <t>max_as</t>
  </si>
  <si>
    <t>notes</t>
  </si>
  <si>
    <t>A330 MRTT</t>
  </si>
  <si>
    <t>KC-30A</t>
  </si>
  <si>
    <t>tanker_model</t>
  </si>
  <si>
    <t>receiver_model</t>
  </si>
  <si>
    <t>receiver_nation</t>
  </si>
  <si>
    <t>min_alt</t>
  </si>
  <si>
    <t>tanker_nation</t>
  </si>
  <si>
    <t>c_tanker</t>
  </si>
  <si>
    <t>c_receiver</t>
  </si>
  <si>
    <t>E-7</t>
  </si>
  <si>
    <t>EA-18</t>
  </si>
  <si>
    <t>F-35</t>
  </si>
  <si>
    <t>B</t>
  </si>
  <si>
    <t>D</t>
  </si>
  <si>
    <t>tanker_type</t>
  </si>
  <si>
    <t>receiver_type</t>
  </si>
  <si>
    <t>A-10</t>
  </si>
  <si>
    <t>B-1</t>
  </si>
  <si>
    <t>B-2</t>
  </si>
  <si>
    <t>B-52</t>
  </si>
  <si>
    <t>F-16</t>
  </si>
  <si>
    <t>F-22</t>
  </si>
  <si>
    <t>F/A-18</t>
  </si>
  <si>
    <t>F35</t>
  </si>
  <si>
    <t>P-8</t>
  </si>
  <si>
    <t>NATO</t>
  </si>
  <si>
    <t>itv</t>
  </si>
  <si>
    <t>F-15</t>
  </si>
  <si>
    <t>Japan</t>
  </si>
  <si>
    <t>For FL150-FL300 265 - 300 KCAS</t>
  </si>
  <si>
    <t>A</t>
  </si>
  <si>
    <t>G</t>
  </si>
  <si>
    <t>C</t>
  </si>
  <si>
    <t>J</t>
  </si>
  <si>
    <t>DJ</t>
  </si>
  <si>
    <t>SG</t>
  </si>
  <si>
    <t>Belgium</t>
  </si>
  <si>
    <t>KC-30A is not cleared to refuel BAF F-16B</t>
  </si>
  <si>
    <t xml:space="preserve">K </t>
  </si>
  <si>
    <t>Denmark</t>
  </si>
  <si>
    <t>Indonesia</t>
  </si>
  <si>
    <t xml:space="preserve">D </t>
  </si>
  <si>
    <t>Netherlands</t>
  </si>
  <si>
    <t>KC-30A is not cleared to refuel RNLAF F-16B</t>
  </si>
  <si>
    <t>Portugal</t>
  </si>
  <si>
    <t>South Korea</t>
  </si>
  <si>
    <t>KC-30A is not cleared to refuel PoAF F-16B</t>
  </si>
  <si>
    <t>D+</t>
  </si>
  <si>
    <t>Singapore</t>
  </si>
  <si>
    <t>Thailand</t>
  </si>
  <si>
    <t>KC-30A is not cleared to refuel RTAF F-16B</t>
  </si>
  <si>
    <t>KC-30A is not cleared to refuel USAF F-16D</t>
  </si>
  <si>
    <t>F-2</t>
  </si>
  <si>
    <t>Norway</t>
  </si>
  <si>
    <t>A-330 MRTT</t>
  </si>
  <si>
    <t>USN</t>
  </si>
  <si>
    <t>P</t>
  </si>
  <si>
    <t>1500 ft</t>
  </si>
  <si>
    <t>H</t>
  </si>
  <si>
    <t>KC-10</t>
  </si>
  <si>
    <t>Omega</t>
  </si>
  <si>
    <t>KDC-10</t>
  </si>
  <si>
    <t>USMC</t>
  </si>
  <si>
    <t>Canada</t>
  </si>
  <si>
    <t>Malaysia</t>
  </si>
  <si>
    <t>Finland</t>
  </si>
  <si>
    <t>Spain</t>
  </si>
  <si>
    <t>E</t>
  </si>
  <si>
    <t>F</t>
  </si>
  <si>
    <t>CF/A-18</t>
  </si>
  <si>
    <t>EF-18</t>
  </si>
  <si>
    <t>EF-2000</t>
  </si>
  <si>
    <t>Typhoon</t>
  </si>
  <si>
    <t>Germany</t>
  </si>
  <si>
    <t>F-2000A</t>
  </si>
  <si>
    <t>United Kingdom</t>
  </si>
  <si>
    <t>Sweden</t>
  </si>
  <si>
    <t>Gripen</t>
  </si>
  <si>
    <t>France</t>
  </si>
  <si>
    <t>Indian</t>
  </si>
  <si>
    <t>Rafale</t>
  </si>
  <si>
    <t>M</t>
  </si>
  <si>
    <t>EH</t>
  </si>
  <si>
    <t>DH</t>
  </si>
  <si>
    <t>SU-30</t>
  </si>
  <si>
    <t>MKM</t>
  </si>
  <si>
    <t>MKI</t>
  </si>
  <si>
    <t>A400</t>
  </si>
  <si>
    <t>WDE (Wing Dispensing Equipment) Only</t>
  </si>
  <si>
    <t>KDC-10B</t>
  </si>
  <si>
    <t>MMF</t>
  </si>
  <si>
    <t>Phénix</t>
  </si>
  <si>
    <t>KC-330</t>
  </si>
  <si>
    <t>KC-30M</t>
  </si>
  <si>
    <t>MSM</t>
  </si>
  <si>
    <t>KC-135</t>
  </si>
  <si>
    <t>R</t>
  </si>
  <si>
    <t xml:space="preserve">KC-135 </t>
  </si>
  <si>
    <t>T</t>
  </si>
  <si>
    <t>KC-46</t>
  </si>
  <si>
    <t>C-135</t>
  </si>
  <si>
    <t>FR</t>
  </si>
  <si>
    <t>RG</t>
  </si>
  <si>
    <t>CC-150</t>
  </si>
  <si>
    <t>KDC-10A</t>
  </si>
  <si>
    <t>Italy</t>
  </si>
  <si>
    <t>KC-130</t>
  </si>
  <si>
    <t>Voyager</t>
  </si>
  <si>
    <t xml:space="preserve">Omega </t>
  </si>
  <si>
    <t>KC-707</t>
  </si>
  <si>
    <t>KC-767</t>
  </si>
  <si>
    <t>given in 1500 ft</t>
  </si>
  <si>
    <t>linear increase of minimum speed from 180 KCAS at FL200 to 255 KCAS at FL350</t>
  </si>
  <si>
    <t>linear increase of minimum speed from 200 KCAS at FL240 to 255 KCAS at FL350</t>
  </si>
  <si>
    <t>FL300-FL350 -&gt; Airspeed: 250 KIAS</t>
  </si>
  <si>
    <t>boom_pod_BDA</t>
  </si>
  <si>
    <t>BDA</t>
  </si>
  <si>
    <t>max_Mach</t>
  </si>
  <si>
    <t>mininimum altitude orginially given in 1500 feet</t>
  </si>
  <si>
    <t>max_mach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</si>
</sst>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ard" xfId="0" builtinId="0"/>
  </cellStyles>
  <dxfs count="6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0D94B-B6DA-4A2A-8457-BB42AF731B76}">
  <dimension ref="A1:C15"/>
  <sheetViews>
    <sheetView topLeftCell="O4" workbookViewId="0">
      <selection activeCell="A3" sqref="A3"/>
    </sheetView>
  </sheetViews>
  <sheetFormatPr defaultRowHeight="14.4" x14ac:dyDescent="0.3"/>
  <cols>
    <col min="1" max="3" width="21.88671875" customWidth="1"/>
  </cols>
  <sheetData>
    <row r="1" spans="1:3" x14ac:dyDescent="0.3">
      <c r="A1" s="1" t="s">
        <v>5</v>
      </c>
      <c r="B1" s="1" t="s">
        <v>3</v>
      </c>
      <c r="C1" s="1" t="s">
        <v>4</v>
      </c>
    </row>
    <row r="2" spans="1:3" x14ac:dyDescent="0.3">
      <c r="A2" t="str" cm="1">
        <f t="array" ref="A2:C15">_xlfn.UNIQUE(_xlfn._xlws.FILTER(Specifications!A2:C100, (Specifications!A2:A100&lt;&gt;"") * (Specifications!B2:B100&lt;&gt;"") * (Specifications!C2:C100&lt;&gt;"")))</f>
        <v>Australia</v>
      </c>
      <c r="B2" t="str">
        <v>A330 MRTT</v>
      </c>
      <c r="C2" t="str">
        <v>KC-30A</v>
      </c>
    </row>
    <row r="3" spans="1:3" x14ac:dyDescent="0.3">
      <c r="A3" t="str">
        <v>USA</v>
      </c>
      <c r="B3" t="str">
        <v>KC-10</v>
      </c>
      <c r="C3" t="str">
        <v>A</v>
      </c>
    </row>
    <row r="4" spans="1:3" x14ac:dyDescent="0.3">
      <c r="A4" t="str">
        <v>Omega</v>
      </c>
      <c r="B4" t="str">
        <v>KC-10</v>
      </c>
      <c r="C4" t="str">
        <v>KDC-10B</v>
      </c>
    </row>
    <row r="5" spans="1:3" x14ac:dyDescent="0.3">
      <c r="A5" t="str">
        <v>Omega</v>
      </c>
      <c r="B5" t="str">
        <v>KDC-10</v>
      </c>
      <c r="C5" t="str">
        <v>B</v>
      </c>
    </row>
    <row r="6" spans="1:3" x14ac:dyDescent="0.3">
      <c r="A6" t="str">
        <v>Malaysia</v>
      </c>
      <c r="B6" t="str">
        <v>A400</v>
      </c>
      <c r="C6" t="str">
        <v>M</v>
      </c>
    </row>
    <row r="7" spans="1:3" x14ac:dyDescent="0.3">
      <c r="A7" t="str">
        <v>Singapore</v>
      </c>
      <c r="B7" t="str">
        <v>A330 MRTT</v>
      </c>
      <c r="C7" t="str">
        <v>A330 MRTT</v>
      </c>
    </row>
    <row r="8" spans="1:3" x14ac:dyDescent="0.3">
      <c r="A8" t="str">
        <v>France</v>
      </c>
      <c r="B8" t="str">
        <v>A330 MRTT</v>
      </c>
      <c r="C8" t="str">
        <v>Phénix</v>
      </c>
    </row>
    <row r="9" spans="1:3" x14ac:dyDescent="0.3">
      <c r="A9" t="str">
        <v>South Korea</v>
      </c>
      <c r="B9" t="str">
        <v>A330 MRTT</v>
      </c>
      <c r="C9" t="str">
        <v>KC-330</v>
      </c>
    </row>
    <row r="10" spans="1:3" x14ac:dyDescent="0.3">
      <c r="A10" t="str">
        <v>MMF</v>
      </c>
      <c r="B10" t="str">
        <v>A330 MRTT</v>
      </c>
      <c r="C10" t="str">
        <v>KC-30M</v>
      </c>
    </row>
    <row r="11" spans="1:3" x14ac:dyDescent="0.3">
      <c r="A11" t="str">
        <v>USA</v>
      </c>
      <c r="B11" t="str">
        <v>KC-135</v>
      </c>
      <c r="C11" t="str">
        <v>R</v>
      </c>
    </row>
    <row r="12" spans="1:3" x14ac:dyDescent="0.3">
      <c r="A12" t="str">
        <v>MSM</v>
      </c>
      <c r="B12" t="str">
        <v xml:space="preserve">KC-135 </v>
      </c>
      <c r="C12" t="str">
        <v>R</v>
      </c>
    </row>
    <row r="13" spans="1:3" x14ac:dyDescent="0.3">
      <c r="A13" t="str">
        <v>USA</v>
      </c>
      <c r="B13" t="str">
        <v>KC-135</v>
      </c>
      <c r="C13" t="str">
        <v>T</v>
      </c>
    </row>
    <row r="14" spans="1:3" x14ac:dyDescent="0.3">
      <c r="A14" t="str">
        <v>USA</v>
      </c>
      <c r="B14" t="str">
        <v>KC-46</v>
      </c>
      <c r="C14" t="str">
        <v>A</v>
      </c>
    </row>
    <row r="15" spans="1:3" x14ac:dyDescent="0.3">
      <c r="A15" t="str">
        <v>France</v>
      </c>
      <c r="B15" t="str">
        <v>C-135</v>
      </c>
      <c r="C15" t="str">
        <v>FR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FCEE5-E55E-42D5-9D01-EC55656266E4}">
  <dimension ref="A1:C79"/>
  <sheetViews>
    <sheetView zoomScale="54" workbookViewId="0">
      <selection activeCell="A2" sqref="A2"/>
    </sheetView>
  </sheetViews>
  <sheetFormatPr defaultRowHeight="14.4" x14ac:dyDescent="0.3"/>
  <cols>
    <col min="1" max="3" width="14.21875" customWidth="1"/>
  </cols>
  <sheetData>
    <row r="1" spans="1:3" x14ac:dyDescent="0.3">
      <c r="A1" s="1" t="s">
        <v>5</v>
      </c>
      <c r="B1" s="1" t="s">
        <v>3</v>
      </c>
      <c r="C1" s="1" t="s">
        <v>4</v>
      </c>
    </row>
    <row r="2" spans="1:3" x14ac:dyDescent="0.3">
      <c r="A2" t="str" cm="1">
        <f t="array" ref="A2:C79">_xlfn.UNIQUE(_xlfn._xlws.FILTER(Specifications!D2:F100, (Specifications!D2:D100&lt;&gt;"") * (Specifications!E2:E100&lt;&gt;"") * (Specifications!F2:F100&lt;&gt;"")))</f>
        <v>Australia</v>
      </c>
      <c r="B2" t="str">
        <v>C-17</v>
      </c>
      <c r="C2" t="str">
        <v>A</v>
      </c>
    </row>
    <row r="3" spans="1:3" x14ac:dyDescent="0.3">
      <c r="A3" t="str">
        <v>Australia</v>
      </c>
      <c r="B3" t="str">
        <v>E-7</v>
      </c>
      <c r="C3" t="str">
        <v>A</v>
      </c>
    </row>
    <row r="4" spans="1:3" x14ac:dyDescent="0.3">
      <c r="A4" t="str">
        <v>Australia</v>
      </c>
      <c r="B4" t="str">
        <v>EA-18</v>
      </c>
      <c r="C4" t="str">
        <v>G</v>
      </c>
    </row>
    <row r="5" spans="1:3" x14ac:dyDescent="0.3">
      <c r="A5" t="str">
        <v>Australia</v>
      </c>
      <c r="B5" t="str">
        <v>F/A-18</v>
      </c>
      <c r="C5" t="str">
        <v>A</v>
      </c>
    </row>
    <row r="6" spans="1:3" x14ac:dyDescent="0.3">
      <c r="A6" t="str">
        <v>Australia</v>
      </c>
      <c r="B6" t="str">
        <v>F35</v>
      </c>
      <c r="C6" t="str">
        <v>A</v>
      </c>
    </row>
    <row r="7" spans="1:3" x14ac:dyDescent="0.3">
      <c r="A7" t="str">
        <v>Australia</v>
      </c>
      <c r="B7" t="str">
        <v>A330 MRTT</v>
      </c>
      <c r="C7" t="str">
        <v>KC-30A</v>
      </c>
    </row>
    <row r="8" spans="1:3" x14ac:dyDescent="0.3">
      <c r="A8" t="str">
        <v>Australia</v>
      </c>
      <c r="B8" t="str">
        <v>P-8</v>
      </c>
      <c r="C8" t="str">
        <v>A</v>
      </c>
    </row>
    <row r="9" spans="1:3" x14ac:dyDescent="0.3">
      <c r="A9" t="str">
        <v>USA</v>
      </c>
      <c r="B9" t="str">
        <v>B-1</v>
      </c>
      <c r="C9" t="str">
        <v>B</v>
      </c>
    </row>
    <row r="10" spans="1:3" x14ac:dyDescent="0.3">
      <c r="A10" t="str">
        <v>USA</v>
      </c>
      <c r="B10" t="str">
        <v>A-10</v>
      </c>
      <c r="C10" t="str">
        <v>C</v>
      </c>
    </row>
    <row r="11" spans="1:3" x14ac:dyDescent="0.3">
      <c r="A11" t="str">
        <v>Japan</v>
      </c>
      <c r="B11" t="str">
        <v>F-15</v>
      </c>
      <c r="C11" t="str">
        <v>J</v>
      </c>
    </row>
    <row r="12" spans="1:3" x14ac:dyDescent="0.3">
      <c r="A12" t="str">
        <v>Japan</v>
      </c>
      <c r="B12" t="str">
        <v>F-15</v>
      </c>
      <c r="C12" t="str">
        <v>DJ</v>
      </c>
    </row>
    <row r="13" spans="1:3" x14ac:dyDescent="0.3">
      <c r="A13" t="str">
        <v>Japan</v>
      </c>
      <c r="B13" t="str">
        <v>F-15</v>
      </c>
      <c r="C13" t="str">
        <v xml:space="preserve">K </v>
      </c>
    </row>
    <row r="14" spans="1:3" x14ac:dyDescent="0.3">
      <c r="A14" t="str">
        <v>Singapore</v>
      </c>
      <c r="B14" t="str">
        <v>F-15</v>
      </c>
      <c r="C14" t="str">
        <v>SG</v>
      </c>
    </row>
    <row r="15" spans="1:3" x14ac:dyDescent="0.3">
      <c r="A15" t="str">
        <v>Belgium</v>
      </c>
      <c r="B15" t="str">
        <v>F-16</v>
      </c>
      <c r="C15" t="str">
        <v>A</v>
      </c>
    </row>
    <row r="16" spans="1:3" x14ac:dyDescent="0.3">
      <c r="A16" t="str">
        <v>Denmark</v>
      </c>
      <c r="B16" t="str">
        <v>F-16</v>
      </c>
      <c r="C16" t="str">
        <v>A</v>
      </c>
    </row>
    <row r="17" spans="1:3" x14ac:dyDescent="0.3">
      <c r="A17" t="str">
        <v>Indonesia</v>
      </c>
      <c r="B17" t="str">
        <v>F-16</v>
      </c>
      <c r="C17" t="str">
        <v>B</v>
      </c>
    </row>
    <row r="18" spans="1:3" x14ac:dyDescent="0.3">
      <c r="A18" t="str">
        <v>Indonesia</v>
      </c>
      <c r="B18" t="str">
        <v>F-16</v>
      </c>
      <c r="C18" t="str">
        <v>C</v>
      </c>
    </row>
    <row r="19" spans="1:3" x14ac:dyDescent="0.3">
      <c r="A19" t="str">
        <v>Indonesia</v>
      </c>
      <c r="B19" t="str">
        <v>F-16</v>
      </c>
      <c r="C19" t="str">
        <v xml:space="preserve">D </v>
      </c>
    </row>
    <row r="20" spans="1:3" x14ac:dyDescent="0.3">
      <c r="A20" t="str">
        <v>Netherlands</v>
      </c>
      <c r="B20" t="str">
        <v>F-16</v>
      </c>
      <c r="C20" t="str">
        <v>A</v>
      </c>
    </row>
    <row r="21" spans="1:3" x14ac:dyDescent="0.3">
      <c r="A21" t="str">
        <v>Portugal</v>
      </c>
      <c r="B21" t="str">
        <v>F-16</v>
      </c>
      <c r="C21" t="str">
        <v>A</v>
      </c>
    </row>
    <row r="22" spans="1:3" x14ac:dyDescent="0.3">
      <c r="A22" t="str">
        <v>South Korea</v>
      </c>
      <c r="B22" t="str">
        <v>F-16</v>
      </c>
      <c r="C22" t="str">
        <v>C</v>
      </c>
    </row>
    <row r="23" spans="1:3" x14ac:dyDescent="0.3">
      <c r="A23" t="str">
        <v>Singapore</v>
      </c>
      <c r="B23" t="str">
        <v>F-16</v>
      </c>
      <c r="C23" t="str">
        <v>C</v>
      </c>
    </row>
    <row r="24" spans="1:3" x14ac:dyDescent="0.3">
      <c r="A24" t="str">
        <v>Singapore</v>
      </c>
      <c r="B24" t="str">
        <v>F-16</v>
      </c>
      <c r="C24" t="str">
        <v>D</v>
      </c>
    </row>
    <row r="25" spans="1:3" x14ac:dyDescent="0.3">
      <c r="A25" t="str">
        <v>Singapore</v>
      </c>
      <c r="B25" t="str">
        <v>F-16</v>
      </c>
      <c r="C25" t="str">
        <v>D+</v>
      </c>
    </row>
    <row r="26" spans="1:3" x14ac:dyDescent="0.3">
      <c r="A26" t="str">
        <v>Thailand</v>
      </c>
      <c r="B26" t="str">
        <v>F-16</v>
      </c>
      <c r="C26" t="str">
        <v>A</v>
      </c>
    </row>
    <row r="27" spans="1:3" x14ac:dyDescent="0.3">
      <c r="A27" t="str">
        <v>USA</v>
      </c>
      <c r="B27" t="str">
        <v>F-16</v>
      </c>
      <c r="C27" t="str">
        <v>C</v>
      </c>
    </row>
    <row r="28" spans="1:3" x14ac:dyDescent="0.3">
      <c r="A28" t="str">
        <v>Japan</v>
      </c>
      <c r="B28" t="str">
        <v>F-2</v>
      </c>
      <c r="C28" t="str">
        <v>A</v>
      </c>
    </row>
    <row r="29" spans="1:3" x14ac:dyDescent="0.3">
      <c r="A29" t="str">
        <v>Japan</v>
      </c>
      <c r="B29" t="str">
        <v>F-2</v>
      </c>
      <c r="C29" t="str">
        <v>B</v>
      </c>
    </row>
    <row r="30" spans="1:3" x14ac:dyDescent="0.3">
      <c r="A30" t="str">
        <v>USA</v>
      </c>
      <c r="B30" t="str">
        <v>F-22</v>
      </c>
      <c r="C30" t="str">
        <v>A</v>
      </c>
    </row>
    <row r="31" spans="1:3" x14ac:dyDescent="0.3">
      <c r="A31" t="str">
        <v>Italy</v>
      </c>
      <c r="B31" t="str">
        <v>F-35</v>
      </c>
      <c r="C31" t="str">
        <v>A</v>
      </c>
    </row>
    <row r="32" spans="1:3" x14ac:dyDescent="0.3">
      <c r="A32" t="str">
        <v>Japan</v>
      </c>
      <c r="B32" t="str">
        <v>F-35</v>
      </c>
      <c r="C32" t="str">
        <v>A</v>
      </c>
    </row>
    <row r="33" spans="1:3" x14ac:dyDescent="0.3">
      <c r="A33" t="str">
        <v>Denmark</v>
      </c>
      <c r="B33" t="str">
        <v>F-35</v>
      </c>
      <c r="C33" t="str">
        <v>A</v>
      </c>
    </row>
    <row r="34" spans="1:3" x14ac:dyDescent="0.3">
      <c r="A34" t="str">
        <v>Netherlands</v>
      </c>
      <c r="B34" t="str">
        <v>F-35</v>
      </c>
      <c r="C34" t="str">
        <v>A</v>
      </c>
    </row>
    <row r="35" spans="1:3" x14ac:dyDescent="0.3">
      <c r="A35" t="str">
        <v>Norway</v>
      </c>
      <c r="B35" t="str">
        <v>F-35</v>
      </c>
      <c r="C35" t="str">
        <v>A</v>
      </c>
    </row>
    <row r="36" spans="1:3" x14ac:dyDescent="0.3">
      <c r="A36" t="str">
        <v>South Korea</v>
      </c>
      <c r="B36" t="str">
        <v>F-35</v>
      </c>
      <c r="C36" t="str">
        <v>A</v>
      </c>
    </row>
    <row r="37" spans="1:3" x14ac:dyDescent="0.3">
      <c r="A37" t="str">
        <v>USA</v>
      </c>
      <c r="B37" t="str">
        <v>F-35</v>
      </c>
      <c r="C37" t="str">
        <v>A</v>
      </c>
    </row>
    <row r="38" spans="1:3" x14ac:dyDescent="0.3">
      <c r="A38" t="str">
        <v>Singapore</v>
      </c>
      <c r="B38" t="str">
        <v>A330 MRTT</v>
      </c>
      <c r="C38" t="str">
        <v>A-330 MRTT</v>
      </c>
    </row>
    <row r="39" spans="1:3" x14ac:dyDescent="0.3">
      <c r="A39" t="str">
        <v>USN</v>
      </c>
      <c r="B39" t="str">
        <v>P-8</v>
      </c>
      <c r="C39" t="str">
        <v>A</v>
      </c>
    </row>
    <row r="40" spans="1:3" x14ac:dyDescent="0.3">
      <c r="A40" t="str">
        <v>USA</v>
      </c>
      <c r="B40" t="str">
        <v>B-2</v>
      </c>
      <c r="C40" t="str">
        <v>A</v>
      </c>
    </row>
    <row r="41" spans="1:3" x14ac:dyDescent="0.3">
      <c r="A41" t="str">
        <v>USA</v>
      </c>
      <c r="B41" t="str">
        <v>B-52</v>
      </c>
      <c r="C41" t="str">
        <v>H</v>
      </c>
    </row>
    <row r="42" spans="1:3" x14ac:dyDescent="0.3">
      <c r="A42" t="str">
        <v>USA</v>
      </c>
      <c r="B42" t="str">
        <v>C-17</v>
      </c>
      <c r="C42" t="str">
        <v>A</v>
      </c>
    </row>
    <row r="43" spans="1:3" x14ac:dyDescent="0.3">
      <c r="A43" t="str">
        <v>NATO</v>
      </c>
      <c r="B43" t="str">
        <v>C-17</v>
      </c>
      <c r="C43" t="str">
        <v>A</v>
      </c>
    </row>
    <row r="44" spans="1:3" x14ac:dyDescent="0.3">
      <c r="A44" t="str">
        <v>USN</v>
      </c>
      <c r="B44" t="str">
        <v>F/A-18</v>
      </c>
      <c r="C44" t="str">
        <v>E</v>
      </c>
    </row>
    <row r="45" spans="1:3" x14ac:dyDescent="0.3">
      <c r="A45" t="str">
        <v>USN</v>
      </c>
      <c r="B45" t="str">
        <v>F/A-18</v>
      </c>
      <c r="C45" t="str">
        <v>F</v>
      </c>
    </row>
    <row r="46" spans="1:3" x14ac:dyDescent="0.3">
      <c r="A46" t="str">
        <v>USN</v>
      </c>
      <c r="B46" t="str">
        <v>EA-18</v>
      </c>
      <c r="C46" t="str">
        <v>G</v>
      </c>
    </row>
    <row r="47" spans="1:3" x14ac:dyDescent="0.3">
      <c r="A47" t="str">
        <v>USMC</v>
      </c>
      <c r="B47" t="str">
        <v>F/A-18</v>
      </c>
      <c r="C47" t="str">
        <v>A</v>
      </c>
    </row>
    <row r="48" spans="1:3" x14ac:dyDescent="0.3">
      <c r="A48" t="str">
        <v>USMC</v>
      </c>
      <c r="B48" t="str">
        <v>F/A-18</v>
      </c>
      <c r="C48" t="str">
        <v>C</v>
      </c>
    </row>
    <row r="49" spans="1:3" x14ac:dyDescent="0.3">
      <c r="A49" t="str">
        <v>USMC</v>
      </c>
      <c r="B49" t="str">
        <v>F/A-18</v>
      </c>
      <c r="C49" t="str">
        <v>D</v>
      </c>
    </row>
    <row r="50" spans="1:3" x14ac:dyDescent="0.3">
      <c r="A50" t="str">
        <v>Canada</v>
      </c>
      <c r="B50" t="str">
        <v>CF/A-18</v>
      </c>
      <c r="C50" t="str">
        <v>A</v>
      </c>
    </row>
    <row r="51" spans="1:3" x14ac:dyDescent="0.3">
      <c r="A51" t="str">
        <v>Canada</v>
      </c>
      <c r="B51" t="str">
        <v>CF/A-18</v>
      </c>
      <c r="C51" t="str">
        <v>B</v>
      </c>
    </row>
    <row r="52" spans="1:3" x14ac:dyDescent="0.3">
      <c r="A52" t="str">
        <v>Malaysia</v>
      </c>
      <c r="B52" t="str">
        <v>F/A-18</v>
      </c>
      <c r="C52" t="str">
        <v>D</v>
      </c>
    </row>
    <row r="53" spans="1:3" x14ac:dyDescent="0.3">
      <c r="A53" t="str">
        <v>Finland</v>
      </c>
      <c r="B53" t="str">
        <v>F/A-18</v>
      </c>
      <c r="C53" t="str">
        <v>C</v>
      </c>
    </row>
    <row r="54" spans="1:3" x14ac:dyDescent="0.3">
      <c r="A54" t="str">
        <v>Finland</v>
      </c>
      <c r="B54" t="str">
        <v>F/A-18</v>
      </c>
      <c r="C54" t="str">
        <v>D</v>
      </c>
    </row>
    <row r="55" spans="1:3" x14ac:dyDescent="0.3">
      <c r="A55" t="str">
        <v>Spain</v>
      </c>
      <c r="B55" t="str">
        <v>EF-18</v>
      </c>
      <c r="C55" t="str">
        <v>A</v>
      </c>
    </row>
    <row r="56" spans="1:3" x14ac:dyDescent="0.3">
      <c r="A56" t="str">
        <v>Spain</v>
      </c>
      <c r="B56" t="str">
        <v>EF-18</v>
      </c>
      <c r="C56" t="str">
        <v>B</v>
      </c>
    </row>
    <row r="57" spans="1:3" x14ac:dyDescent="0.3">
      <c r="A57" t="str">
        <v>United Kingdom</v>
      </c>
      <c r="B57" t="str">
        <v>EF-2000</v>
      </c>
      <c r="C57" t="str">
        <v>Typhoon</v>
      </c>
    </row>
    <row r="58" spans="1:3" x14ac:dyDescent="0.3">
      <c r="A58" t="str">
        <v>Germany</v>
      </c>
      <c r="B58" t="str">
        <v>EF-2000</v>
      </c>
      <c r="C58" t="str">
        <v>EF-2000</v>
      </c>
    </row>
    <row r="59" spans="1:3" x14ac:dyDescent="0.3">
      <c r="A59" t="str">
        <v>Spain</v>
      </c>
      <c r="B59" t="str">
        <v>EF-2000</v>
      </c>
      <c r="C59" t="str">
        <v>EF-2000</v>
      </c>
    </row>
    <row r="60" spans="1:3" x14ac:dyDescent="0.3">
      <c r="A60" t="str">
        <v>Italy</v>
      </c>
      <c r="B60" t="str">
        <v>EF-2000</v>
      </c>
      <c r="C60" t="str">
        <v>F-2000A</v>
      </c>
    </row>
    <row r="61" spans="1:3" x14ac:dyDescent="0.3">
      <c r="A61" t="str">
        <v>Italy</v>
      </c>
      <c r="B61" t="str">
        <v>F-35</v>
      </c>
      <c r="C61" t="str">
        <v>B</v>
      </c>
    </row>
    <row r="62" spans="1:3" x14ac:dyDescent="0.3">
      <c r="A62" t="str">
        <v>United Kingdom</v>
      </c>
      <c r="B62" t="str">
        <v>F-35</v>
      </c>
      <c r="C62" t="str">
        <v>B</v>
      </c>
    </row>
    <row r="63" spans="1:3" x14ac:dyDescent="0.3">
      <c r="A63" t="str">
        <v>South Korea</v>
      </c>
      <c r="B63" t="str">
        <v>F-35</v>
      </c>
      <c r="C63" t="str">
        <v>B</v>
      </c>
    </row>
    <row r="64" spans="1:3" x14ac:dyDescent="0.3">
      <c r="A64" t="str">
        <v>USMC</v>
      </c>
      <c r="B64" t="str">
        <v>F-35</v>
      </c>
      <c r="C64" t="str">
        <v>B</v>
      </c>
    </row>
    <row r="65" spans="1:3" x14ac:dyDescent="0.3">
      <c r="A65" t="str">
        <v>Japan</v>
      </c>
      <c r="B65" t="str">
        <v>F-35</v>
      </c>
      <c r="C65" t="str">
        <v>B</v>
      </c>
    </row>
    <row r="66" spans="1:3" x14ac:dyDescent="0.3">
      <c r="A66" t="str">
        <v>USN</v>
      </c>
      <c r="B66" t="str">
        <v>F-35</v>
      </c>
      <c r="C66" t="str">
        <v>C</v>
      </c>
    </row>
    <row r="67" spans="1:3" x14ac:dyDescent="0.3">
      <c r="A67" t="str">
        <v>USMC</v>
      </c>
      <c r="B67" t="str">
        <v>F-35</v>
      </c>
      <c r="C67" t="str">
        <v>C</v>
      </c>
    </row>
    <row r="68" spans="1:3" x14ac:dyDescent="0.3">
      <c r="A68" t="str">
        <v>Sweden</v>
      </c>
      <c r="B68" t="str">
        <v>Gripen</v>
      </c>
      <c r="C68" t="str">
        <v>C</v>
      </c>
    </row>
    <row r="69" spans="1:3" x14ac:dyDescent="0.3">
      <c r="A69" t="str">
        <v>Thailand</v>
      </c>
      <c r="B69" t="str">
        <v>Gripen</v>
      </c>
      <c r="C69" t="str">
        <v>C</v>
      </c>
    </row>
    <row r="70" spans="1:3" x14ac:dyDescent="0.3">
      <c r="A70" t="str">
        <v>Sweden</v>
      </c>
      <c r="B70" t="str">
        <v>Gripen</v>
      </c>
      <c r="C70" t="str">
        <v>D</v>
      </c>
    </row>
    <row r="71" spans="1:3" x14ac:dyDescent="0.3">
      <c r="A71" t="str">
        <v>Thailand</v>
      </c>
      <c r="B71" t="str">
        <v>Gripen</v>
      </c>
      <c r="C71" t="str">
        <v>D</v>
      </c>
    </row>
    <row r="72" spans="1:3" x14ac:dyDescent="0.3">
      <c r="A72" t="str">
        <v>France</v>
      </c>
      <c r="B72" t="str">
        <v>Rafale</v>
      </c>
      <c r="C72" t="str">
        <v>B</v>
      </c>
    </row>
    <row r="73" spans="1:3" x14ac:dyDescent="0.3">
      <c r="A73" t="str">
        <v>France</v>
      </c>
      <c r="B73" t="str">
        <v>Rafale</v>
      </c>
      <c r="C73" t="str">
        <v>C</v>
      </c>
    </row>
    <row r="74" spans="1:3" x14ac:dyDescent="0.3">
      <c r="A74" t="str">
        <v>France</v>
      </c>
      <c r="B74" t="str">
        <v>Rafale</v>
      </c>
      <c r="C74" t="str">
        <v>M</v>
      </c>
    </row>
    <row r="75" spans="1:3" x14ac:dyDescent="0.3">
      <c r="A75" t="str">
        <v>Indian</v>
      </c>
      <c r="B75" t="str">
        <v>Rafale</v>
      </c>
      <c r="C75" t="str">
        <v>EH</v>
      </c>
    </row>
    <row r="76" spans="1:3" x14ac:dyDescent="0.3">
      <c r="A76" t="str">
        <v>Indian</v>
      </c>
      <c r="B76" t="str">
        <v>Rafale</v>
      </c>
      <c r="C76" t="str">
        <v>DH</v>
      </c>
    </row>
    <row r="77" spans="1:3" x14ac:dyDescent="0.3">
      <c r="A77" t="str">
        <v>Malaysia</v>
      </c>
      <c r="B77" t="str">
        <v>SU-30</v>
      </c>
      <c r="C77" t="str">
        <v>MKM</v>
      </c>
    </row>
    <row r="78" spans="1:3" x14ac:dyDescent="0.3">
      <c r="A78" t="str">
        <v>Indian</v>
      </c>
      <c r="B78" t="str">
        <v>SU-30</v>
      </c>
      <c r="C78" t="str">
        <v>MKI</v>
      </c>
    </row>
    <row r="79" spans="1:3" x14ac:dyDescent="0.3">
      <c r="A79" t="str">
        <v>Australia</v>
      </c>
      <c r="B79" t="str">
        <v>F/A-18</v>
      </c>
      <c r="C79" t="str">
        <v>F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265A1-A9D7-4385-A212-22C9E3209522}">
  <dimension ref="A1:P178"/>
  <sheetViews>
    <sheetView topLeftCell="A13" zoomScale="62" zoomScaleNormal="44" workbookViewId="0">
      <selection activeCell="J14" sqref="J14"/>
    </sheetView>
  </sheetViews>
  <sheetFormatPr defaultRowHeight="14.4" x14ac:dyDescent="0.3"/>
  <cols>
    <col min="1" max="11" width="15.77734375" customWidth="1"/>
  </cols>
  <sheetData>
    <row r="1" spans="1:16" s="3" customFormat="1" ht="18" x14ac:dyDescent="0.35">
      <c r="A1" s="2" t="s">
        <v>17</v>
      </c>
      <c r="B1" s="2" t="s">
        <v>25</v>
      </c>
      <c r="C1" s="2" t="s">
        <v>13</v>
      </c>
      <c r="D1" s="2" t="s">
        <v>15</v>
      </c>
      <c r="E1" s="2" t="s">
        <v>26</v>
      </c>
      <c r="F1" s="2" t="s">
        <v>14</v>
      </c>
      <c r="G1" s="2" t="s">
        <v>18</v>
      </c>
      <c r="H1" s="2" t="s">
        <v>19</v>
      </c>
      <c r="I1" s="2" t="s">
        <v>126</v>
      </c>
      <c r="J1" s="2" t="s">
        <v>16</v>
      </c>
      <c r="K1" s="2" t="s">
        <v>7</v>
      </c>
      <c r="L1" s="2" t="s">
        <v>8</v>
      </c>
      <c r="M1" s="2" t="s">
        <v>9</v>
      </c>
      <c r="N1" s="2" t="s">
        <v>130</v>
      </c>
      <c r="O1" s="2" t="s">
        <v>6</v>
      </c>
      <c r="P1" s="2" t="s">
        <v>10</v>
      </c>
    </row>
    <row r="2" spans="1:16" x14ac:dyDescent="0.3">
      <c r="A2" t="s">
        <v>2</v>
      </c>
      <c r="B2" t="s">
        <v>11</v>
      </c>
      <c r="C2" t="s">
        <v>12</v>
      </c>
      <c r="D2" t="s">
        <v>2</v>
      </c>
      <c r="E2" t="s">
        <v>0</v>
      </c>
      <c r="F2" t="s">
        <v>41</v>
      </c>
      <c r="G2">
        <v>3</v>
      </c>
      <c r="H2">
        <v>3</v>
      </c>
      <c r="I2" t="s">
        <v>23</v>
      </c>
      <c r="J2">
        <v>150</v>
      </c>
      <c r="K2">
        <v>280</v>
      </c>
      <c r="L2">
        <v>265</v>
      </c>
      <c r="M2">
        <v>285</v>
      </c>
      <c r="O2">
        <f>3600*2.20462</f>
        <v>7936.6319999999996</v>
      </c>
    </row>
    <row r="3" spans="1:16" x14ac:dyDescent="0.3">
      <c r="A3" t="s">
        <v>2</v>
      </c>
      <c r="B3" t="s">
        <v>11</v>
      </c>
      <c r="C3" t="s">
        <v>12</v>
      </c>
      <c r="D3" t="s">
        <v>2</v>
      </c>
      <c r="E3" t="s">
        <v>20</v>
      </c>
      <c r="F3" t="s">
        <v>41</v>
      </c>
      <c r="G3">
        <v>3</v>
      </c>
      <c r="H3">
        <v>3</v>
      </c>
      <c r="I3" t="s">
        <v>23</v>
      </c>
      <c r="J3">
        <v>200</v>
      </c>
      <c r="K3">
        <v>300</v>
      </c>
      <c r="L3">
        <v>250</v>
      </c>
      <c r="M3">
        <v>290</v>
      </c>
      <c r="O3">
        <f>1900*2.20462</f>
        <v>4188.7779999999993</v>
      </c>
    </row>
    <row r="4" spans="1:16" x14ac:dyDescent="0.3">
      <c r="A4" t="s">
        <v>2</v>
      </c>
      <c r="B4" t="s">
        <v>11</v>
      </c>
      <c r="C4" t="s">
        <v>12</v>
      </c>
      <c r="D4" t="s">
        <v>2</v>
      </c>
      <c r="E4" t="s">
        <v>21</v>
      </c>
      <c r="F4" t="s">
        <v>42</v>
      </c>
      <c r="G4">
        <v>3</v>
      </c>
      <c r="H4">
        <v>3</v>
      </c>
      <c r="I4" t="s">
        <v>67</v>
      </c>
      <c r="J4">
        <v>15</v>
      </c>
      <c r="K4">
        <v>350</v>
      </c>
      <c r="L4">
        <v>250</v>
      </c>
      <c r="M4">
        <v>300</v>
      </c>
      <c r="O4">
        <f>1200 * 2.20462</f>
        <v>2645.5439999999999</v>
      </c>
      <c r="P4" t="s">
        <v>129</v>
      </c>
    </row>
    <row r="5" spans="1:16" x14ac:dyDescent="0.3">
      <c r="A5" t="s">
        <v>2</v>
      </c>
      <c r="B5" t="s">
        <v>11</v>
      </c>
      <c r="C5" t="s">
        <v>12</v>
      </c>
      <c r="D5" t="s">
        <v>2</v>
      </c>
      <c r="E5" t="s">
        <v>33</v>
      </c>
      <c r="F5" t="s">
        <v>41</v>
      </c>
      <c r="G5">
        <v>3</v>
      </c>
      <c r="H5">
        <v>3</v>
      </c>
      <c r="I5" t="s">
        <v>67</v>
      </c>
      <c r="J5" t="s">
        <v>68</v>
      </c>
      <c r="K5">
        <v>350</v>
      </c>
      <c r="L5">
        <v>250</v>
      </c>
      <c r="M5">
        <v>300</v>
      </c>
      <c r="O5">
        <f>1200 * 2.20462</f>
        <v>2645.5439999999999</v>
      </c>
      <c r="P5" t="s">
        <v>129</v>
      </c>
    </row>
    <row r="6" spans="1:16" x14ac:dyDescent="0.3">
      <c r="A6" t="s">
        <v>2</v>
      </c>
      <c r="B6" t="s">
        <v>11</v>
      </c>
      <c r="C6" t="s">
        <v>12</v>
      </c>
      <c r="D6" t="s">
        <v>2</v>
      </c>
      <c r="E6" t="s">
        <v>34</v>
      </c>
      <c r="F6" t="s">
        <v>41</v>
      </c>
      <c r="G6">
        <v>3</v>
      </c>
      <c r="H6">
        <v>3</v>
      </c>
      <c r="I6" t="s">
        <v>23</v>
      </c>
      <c r="J6">
        <v>15</v>
      </c>
      <c r="K6">
        <v>350</v>
      </c>
      <c r="L6">
        <v>265</v>
      </c>
      <c r="M6">
        <v>325</v>
      </c>
      <c r="O6">
        <f>1000*2.20462</f>
        <v>2204.62</v>
      </c>
    </row>
    <row r="7" spans="1:16" x14ac:dyDescent="0.3">
      <c r="A7" t="s">
        <v>2</v>
      </c>
      <c r="B7" t="s">
        <v>11</v>
      </c>
      <c r="C7" t="s">
        <v>12</v>
      </c>
      <c r="D7" t="s">
        <v>2</v>
      </c>
      <c r="E7" t="s">
        <v>11</v>
      </c>
      <c r="F7" t="s">
        <v>12</v>
      </c>
      <c r="G7">
        <v>3</v>
      </c>
      <c r="H7">
        <v>3</v>
      </c>
      <c r="I7" t="s">
        <v>23</v>
      </c>
      <c r="J7">
        <v>150</v>
      </c>
      <c r="K7">
        <v>300</v>
      </c>
      <c r="L7">
        <v>250</v>
      </c>
      <c r="M7">
        <v>290</v>
      </c>
      <c r="O7">
        <f>3600*2.20462</f>
        <v>7936.6319999999996</v>
      </c>
    </row>
    <row r="8" spans="1:16" x14ac:dyDescent="0.3">
      <c r="A8" t="s">
        <v>2</v>
      </c>
      <c r="B8" t="s">
        <v>11</v>
      </c>
      <c r="C8" t="s">
        <v>12</v>
      </c>
      <c r="D8" t="s">
        <v>2</v>
      </c>
      <c r="E8" t="s">
        <v>35</v>
      </c>
      <c r="F8" t="s">
        <v>41</v>
      </c>
      <c r="G8">
        <v>3</v>
      </c>
      <c r="H8">
        <v>3</v>
      </c>
      <c r="I8" t="s">
        <v>23</v>
      </c>
      <c r="J8">
        <v>80</v>
      </c>
      <c r="K8">
        <v>280</v>
      </c>
      <c r="L8">
        <v>250</v>
      </c>
      <c r="M8">
        <v>300</v>
      </c>
      <c r="O8">
        <f>1900*2.20462</f>
        <v>4188.7779999999993</v>
      </c>
    </row>
    <row r="9" spans="1:16" x14ac:dyDescent="0.3">
      <c r="A9" t="s">
        <v>2</v>
      </c>
      <c r="B9" t="s">
        <v>11</v>
      </c>
      <c r="C9" t="s">
        <v>12</v>
      </c>
      <c r="D9" t="s">
        <v>1</v>
      </c>
      <c r="E9" t="s">
        <v>28</v>
      </c>
      <c r="F9" t="s">
        <v>23</v>
      </c>
      <c r="G9">
        <v>3</v>
      </c>
      <c r="H9">
        <v>3</v>
      </c>
      <c r="I9" t="s">
        <v>23</v>
      </c>
      <c r="J9">
        <v>100</v>
      </c>
      <c r="K9">
        <v>270</v>
      </c>
      <c r="L9">
        <v>290</v>
      </c>
      <c r="M9">
        <v>315</v>
      </c>
      <c r="O9">
        <f>3600*2.20462</f>
        <v>7936.6319999999996</v>
      </c>
    </row>
    <row r="10" spans="1:16" x14ac:dyDescent="0.3">
      <c r="A10" t="s">
        <v>2</v>
      </c>
      <c r="B10" t="s">
        <v>11</v>
      </c>
      <c r="C10" t="s">
        <v>12</v>
      </c>
      <c r="D10" t="s">
        <v>1</v>
      </c>
      <c r="E10" t="s">
        <v>27</v>
      </c>
      <c r="F10" t="s">
        <v>43</v>
      </c>
      <c r="G10">
        <v>3</v>
      </c>
      <c r="H10">
        <v>3</v>
      </c>
      <c r="I10" t="s">
        <v>23</v>
      </c>
      <c r="J10">
        <v>100</v>
      </c>
      <c r="K10">
        <v>200</v>
      </c>
      <c r="L10">
        <v>190</v>
      </c>
      <c r="M10">
        <v>240</v>
      </c>
      <c r="O10">
        <f>1200*2.20462</f>
        <v>2645.5439999999999</v>
      </c>
    </row>
    <row r="11" spans="1:16" x14ac:dyDescent="0.3">
      <c r="A11" t="s">
        <v>2</v>
      </c>
      <c r="B11" t="s">
        <v>11</v>
      </c>
      <c r="C11" t="s">
        <v>12</v>
      </c>
      <c r="D11" t="s">
        <v>39</v>
      </c>
      <c r="E11" t="s">
        <v>38</v>
      </c>
      <c r="F11" t="s">
        <v>44</v>
      </c>
      <c r="G11">
        <v>3</v>
      </c>
      <c r="H11" t="s">
        <v>37</v>
      </c>
      <c r="I11" t="s">
        <v>23</v>
      </c>
      <c r="J11">
        <v>100</v>
      </c>
      <c r="K11">
        <v>310</v>
      </c>
      <c r="L11">
        <v>265</v>
      </c>
      <c r="M11">
        <v>300</v>
      </c>
      <c r="O11">
        <f>1400*2.20462</f>
        <v>3086.4679999999998</v>
      </c>
    </row>
    <row r="12" spans="1:16" x14ac:dyDescent="0.3">
      <c r="A12" t="s">
        <v>2</v>
      </c>
      <c r="B12" t="s">
        <v>11</v>
      </c>
      <c r="C12" t="s">
        <v>12</v>
      </c>
      <c r="D12" t="s">
        <v>39</v>
      </c>
      <c r="E12" t="s">
        <v>38</v>
      </c>
      <c r="F12" t="s">
        <v>45</v>
      </c>
      <c r="G12">
        <v>3</v>
      </c>
      <c r="H12" t="s">
        <v>37</v>
      </c>
      <c r="I12" t="s">
        <v>23</v>
      </c>
      <c r="J12">
        <v>100</v>
      </c>
      <c r="K12">
        <v>300</v>
      </c>
      <c r="L12">
        <v>265</v>
      </c>
      <c r="M12">
        <v>300</v>
      </c>
      <c r="O12">
        <f>1400*2.20462</f>
        <v>3086.4679999999998</v>
      </c>
    </row>
    <row r="13" spans="1:16" x14ac:dyDescent="0.3">
      <c r="A13" t="s">
        <v>2</v>
      </c>
      <c r="B13" t="s">
        <v>11</v>
      </c>
      <c r="C13" t="s">
        <v>12</v>
      </c>
      <c r="D13" t="s">
        <v>39</v>
      </c>
      <c r="E13" t="s">
        <v>38</v>
      </c>
      <c r="F13" t="s">
        <v>49</v>
      </c>
      <c r="G13">
        <v>2</v>
      </c>
      <c r="H13" t="s">
        <v>37</v>
      </c>
      <c r="I13" t="s">
        <v>23</v>
      </c>
      <c r="J13">
        <v>100</v>
      </c>
      <c r="K13">
        <v>300</v>
      </c>
      <c r="L13">
        <v>265</v>
      </c>
      <c r="M13">
        <v>290</v>
      </c>
      <c r="O13">
        <f>1400*2.20462</f>
        <v>3086.4679999999998</v>
      </c>
      <c r="P13" t="s">
        <v>40</v>
      </c>
    </row>
    <row r="14" spans="1:16" x14ac:dyDescent="0.3">
      <c r="A14" t="s">
        <v>2</v>
      </c>
      <c r="B14" t="s">
        <v>11</v>
      </c>
      <c r="C14" t="s">
        <v>12</v>
      </c>
      <c r="D14" t="s">
        <v>59</v>
      </c>
      <c r="E14" t="s">
        <v>38</v>
      </c>
      <c r="F14" t="s">
        <v>46</v>
      </c>
      <c r="G14">
        <v>2</v>
      </c>
      <c r="H14" t="s">
        <v>37</v>
      </c>
      <c r="I14" t="s">
        <v>23</v>
      </c>
      <c r="J14">
        <v>100</v>
      </c>
      <c r="K14">
        <v>300</v>
      </c>
      <c r="L14">
        <v>265</v>
      </c>
      <c r="M14">
        <v>290</v>
      </c>
      <c r="O14">
        <f>1400*2.20462</f>
        <v>3086.4679999999998</v>
      </c>
      <c r="P14" t="s">
        <v>40</v>
      </c>
    </row>
    <row r="15" spans="1:16" x14ac:dyDescent="0.3">
      <c r="A15" t="s">
        <v>2</v>
      </c>
      <c r="B15" t="s">
        <v>11</v>
      </c>
      <c r="C15" t="s">
        <v>12</v>
      </c>
      <c r="D15" t="s">
        <v>47</v>
      </c>
      <c r="E15" t="s">
        <v>31</v>
      </c>
      <c r="F15" t="s">
        <v>41</v>
      </c>
      <c r="G15">
        <v>3</v>
      </c>
      <c r="H15" t="s">
        <v>37</v>
      </c>
      <c r="I15" t="s">
        <v>23</v>
      </c>
      <c r="J15">
        <v>80</v>
      </c>
      <c r="K15">
        <v>300</v>
      </c>
      <c r="L15">
        <v>265</v>
      </c>
      <c r="M15">
        <v>315</v>
      </c>
      <c r="O15">
        <f t="shared" ref="O15:O29" si="0">1400*2.20462</f>
        <v>3086.4679999999998</v>
      </c>
      <c r="P15" t="s">
        <v>48</v>
      </c>
    </row>
    <row r="16" spans="1:16" x14ac:dyDescent="0.3">
      <c r="A16" t="s">
        <v>2</v>
      </c>
      <c r="B16" t="s">
        <v>11</v>
      </c>
      <c r="C16" t="s">
        <v>12</v>
      </c>
      <c r="D16" t="s">
        <v>50</v>
      </c>
      <c r="E16" t="s">
        <v>31</v>
      </c>
      <c r="F16" t="s">
        <v>41</v>
      </c>
      <c r="G16">
        <v>3</v>
      </c>
      <c r="H16" t="s">
        <v>37</v>
      </c>
      <c r="I16" t="s">
        <v>23</v>
      </c>
      <c r="J16">
        <v>80</v>
      </c>
      <c r="K16">
        <v>300</v>
      </c>
      <c r="L16">
        <v>265</v>
      </c>
      <c r="M16">
        <v>315</v>
      </c>
      <c r="O16">
        <f t="shared" si="0"/>
        <v>3086.4679999999998</v>
      </c>
      <c r="P16" t="s">
        <v>48</v>
      </c>
    </row>
    <row r="17" spans="1:16" x14ac:dyDescent="0.3">
      <c r="A17" t="s">
        <v>2</v>
      </c>
      <c r="B17" t="s">
        <v>11</v>
      </c>
      <c r="C17" t="s">
        <v>12</v>
      </c>
      <c r="D17" t="s">
        <v>51</v>
      </c>
      <c r="E17" t="s">
        <v>31</v>
      </c>
      <c r="F17" t="s">
        <v>23</v>
      </c>
      <c r="G17">
        <v>3</v>
      </c>
      <c r="H17" t="s">
        <v>37</v>
      </c>
      <c r="I17" t="s">
        <v>23</v>
      </c>
      <c r="J17">
        <v>80</v>
      </c>
      <c r="K17">
        <v>300</v>
      </c>
      <c r="L17">
        <v>265</v>
      </c>
      <c r="M17">
        <v>315</v>
      </c>
      <c r="O17">
        <f t="shared" si="0"/>
        <v>3086.4679999999998</v>
      </c>
    </row>
    <row r="18" spans="1:16" x14ac:dyDescent="0.3">
      <c r="A18" t="s">
        <v>2</v>
      </c>
      <c r="B18" t="s">
        <v>11</v>
      </c>
      <c r="C18" t="s">
        <v>12</v>
      </c>
      <c r="D18" t="s">
        <v>51</v>
      </c>
      <c r="E18" t="s">
        <v>31</v>
      </c>
      <c r="F18" t="s">
        <v>43</v>
      </c>
      <c r="G18">
        <v>3</v>
      </c>
      <c r="H18" t="s">
        <v>37</v>
      </c>
      <c r="I18" t="s">
        <v>23</v>
      </c>
      <c r="J18">
        <v>80</v>
      </c>
      <c r="K18">
        <v>300</v>
      </c>
      <c r="L18">
        <v>265</v>
      </c>
      <c r="M18">
        <v>315</v>
      </c>
      <c r="O18">
        <f t="shared" si="0"/>
        <v>3086.4679999999998</v>
      </c>
    </row>
    <row r="19" spans="1:16" x14ac:dyDescent="0.3">
      <c r="A19" t="s">
        <v>2</v>
      </c>
      <c r="B19" t="s">
        <v>11</v>
      </c>
      <c r="C19" t="s">
        <v>12</v>
      </c>
      <c r="D19" t="s">
        <v>51</v>
      </c>
      <c r="E19" t="s">
        <v>31</v>
      </c>
      <c r="F19" t="s">
        <v>52</v>
      </c>
      <c r="G19">
        <v>3</v>
      </c>
      <c r="H19" t="s">
        <v>37</v>
      </c>
      <c r="I19" t="s">
        <v>23</v>
      </c>
      <c r="J19">
        <v>80</v>
      </c>
      <c r="K19">
        <v>300</v>
      </c>
      <c r="L19">
        <v>265</v>
      </c>
      <c r="M19">
        <v>315</v>
      </c>
      <c r="O19">
        <f t="shared" si="0"/>
        <v>3086.4679999999998</v>
      </c>
    </row>
    <row r="20" spans="1:16" x14ac:dyDescent="0.3">
      <c r="A20" t="s">
        <v>2</v>
      </c>
      <c r="B20" t="s">
        <v>11</v>
      </c>
      <c r="C20" t="s">
        <v>12</v>
      </c>
      <c r="D20" t="s">
        <v>53</v>
      </c>
      <c r="E20" t="s">
        <v>31</v>
      </c>
      <c r="F20" t="s">
        <v>41</v>
      </c>
      <c r="G20">
        <v>3</v>
      </c>
      <c r="H20" t="s">
        <v>37</v>
      </c>
      <c r="I20" t="s">
        <v>23</v>
      </c>
      <c r="J20">
        <v>80</v>
      </c>
      <c r="K20">
        <v>300</v>
      </c>
      <c r="L20">
        <v>265</v>
      </c>
      <c r="M20">
        <v>315</v>
      </c>
      <c r="O20">
        <f t="shared" si="0"/>
        <v>3086.4679999999998</v>
      </c>
      <c r="P20" t="s">
        <v>54</v>
      </c>
    </row>
    <row r="21" spans="1:16" x14ac:dyDescent="0.3">
      <c r="A21" t="s">
        <v>2</v>
      </c>
      <c r="B21" t="s">
        <v>11</v>
      </c>
      <c r="C21" t="s">
        <v>12</v>
      </c>
      <c r="D21" t="s">
        <v>55</v>
      </c>
      <c r="E21" t="s">
        <v>31</v>
      </c>
      <c r="F21" t="s">
        <v>41</v>
      </c>
      <c r="G21">
        <v>3</v>
      </c>
      <c r="H21" t="s">
        <v>37</v>
      </c>
      <c r="I21" t="s">
        <v>23</v>
      </c>
      <c r="J21">
        <v>80</v>
      </c>
      <c r="K21">
        <v>300</v>
      </c>
      <c r="L21">
        <v>265</v>
      </c>
      <c r="M21">
        <v>315</v>
      </c>
      <c r="O21">
        <f t="shared" si="0"/>
        <v>3086.4679999999998</v>
      </c>
      <c r="P21" t="s">
        <v>57</v>
      </c>
    </row>
    <row r="22" spans="1:16" x14ac:dyDescent="0.3">
      <c r="A22" t="s">
        <v>2</v>
      </c>
      <c r="B22" t="s">
        <v>11</v>
      </c>
      <c r="C22" t="s">
        <v>12</v>
      </c>
      <c r="D22" t="s">
        <v>56</v>
      </c>
      <c r="E22" t="s">
        <v>31</v>
      </c>
      <c r="F22" t="s">
        <v>43</v>
      </c>
      <c r="G22">
        <v>3</v>
      </c>
      <c r="H22" t="s">
        <v>37</v>
      </c>
      <c r="I22" t="s">
        <v>23</v>
      </c>
      <c r="J22">
        <v>80</v>
      </c>
      <c r="K22">
        <v>300</v>
      </c>
      <c r="L22">
        <v>265</v>
      </c>
      <c r="M22">
        <v>315</v>
      </c>
      <c r="O22">
        <f t="shared" si="0"/>
        <v>3086.4679999999998</v>
      </c>
    </row>
    <row r="23" spans="1:16" x14ac:dyDescent="0.3">
      <c r="A23" t="s">
        <v>2</v>
      </c>
      <c r="B23" t="s">
        <v>11</v>
      </c>
      <c r="C23" t="s">
        <v>12</v>
      </c>
      <c r="D23" t="s">
        <v>59</v>
      </c>
      <c r="E23" t="s">
        <v>31</v>
      </c>
      <c r="F23" t="s">
        <v>43</v>
      </c>
      <c r="G23">
        <v>3</v>
      </c>
      <c r="H23" t="s">
        <v>37</v>
      </c>
      <c r="I23" t="s">
        <v>23</v>
      </c>
      <c r="J23">
        <v>80</v>
      </c>
      <c r="K23">
        <v>300</v>
      </c>
      <c r="L23">
        <v>265</v>
      </c>
      <c r="M23">
        <v>315</v>
      </c>
      <c r="O23">
        <f t="shared" si="0"/>
        <v>3086.4679999999998</v>
      </c>
    </row>
    <row r="24" spans="1:16" x14ac:dyDescent="0.3">
      <c r="A24" t="s">
        <v>2</v>
      </c>
      <c r="B24" t="s">
        <v>11</v>
      </c>
      <c r="C24" t="s">
        <v>12</v>
      </c>
      <c r="D24" t="s">
        <v>59</v>
      </c>
      <c r="E24" t="s">
        <v>31</v>
      </c>
      <c r="F24" t="s">
        <v>24</v>
      </c>
      <c r="G24">
        <v>3</v>
      </c>
      <c r="H24" t="s">
        <v>37</v>
      </c>
      <c r="I24" t="s">
        <v>23</v>
      </c>
      <c r="J24">
        <v>80</v>
      </c>
      <c r="K24">
        <v>300</v>
      </c>
      <c r="L24">
        <v>265</v>
      </c>
      <c r="M24">
        <v>315</v>
      </c>
      <c r="O24">
        <f t="shared" si="0"/>
        <v>3086.4679999999998</v>
      </c>
    </row>
    <row r="25" spans="1:16" x14ac:dyDescent="0.3">
      <c r="A25" t="s">
        <v>2</v>
      </c>
      <c r="B25" t="s">
        <v>11</v>
      </c>
      <c r="C25" t="s">
        <v>12</v>
      </c>
      <c r="D25" t="s">
        <v>59</v>
      </c>
      <c r="E25" t="s">
        <v>31</v>
      </c>
      <c r="F25" t="s">
        <v>58</v>
      </c>
      <c r="G25">
        <v>3</v>
      </c>
      <c r="H25" t="s">
        <v>37</v>
      </c>
      <c r="I25" t="s">
        <v>23</v>
      </c>
      <c r="J25">
        <v>80</v>
      </c>
      <c r="K25">
        <v>300</v>
      </c>
      <c r="L25">
        <v>265</v>
      </c>
      <c r="M25">
        <v>315</v>
      </c>
      <c r="O25">
        <f t="shared" si="0"/>
        <v>3086.4679999999998</v>
      </c>
    </row>
    <row r="26" spans="1:16" x14ac:dyDescent="0.3">
      <c r="A26" t="s">
        <v>2</v>
      </c>
      <c r="B26" t="s">
        <v>11</v>
      </c>
      <c r="C26" t="s">
        <v>12</v>
      </c>
      <c r="D26" t="s">
        <v>60</v>
      </c>
      <c r="E26" t="s">
        <v>31</v>
      </c>
      <c r="F26" t="s">
        <v>41</v>
      </c>
      <c r="G26">
        <v>3</v>
      </c>
      <c r="H26" t="s">
        <v>37</v>
      </c>
      <c r="I26" t="s">
        <v>23</v>
      </c>
      <c r="J26">
        <v>80</v>
      </c>
      <c r="K26">
        <v>300</v>
      </c>
      <c r="L26">
        <v>265</v>
      </c>
      <c r="M26">
        <v>315</v>
      </c>
      <c r="O26">
        <f t="shared" si="0"/>
        <v>3086.4679999999998</v>
      </c>
      <c r="P26" t="s">
        <v>61</v>
      </c>
    </row>
    <row r="27" spans="1:16" x14ac:dyDescent="0.3">
      <c r="A27" t="s">
        <v>2</v>
      </c>
      <c r="B27" t="s">
        <v>11</v>
      </c>
      <c r="C27" t="s">
        <v>12</v>
      </c>
      <c r="D27" t="s">
        <v>1</v>
      </c>
      <c r="E27" t="s">
        <v>31</v>
      </c>
      <c r="F27" t="s">
        <v>43</v>
      </c>
      <c r="G27">
        <v>3</v>
      </c>
      <c r="H27" t="s">
        <v>37</v>
      </c>
      <c r="I27" t="s">
        <v>23</v>
      </c>
      <c r="J27">
        <v>80</v>
      </c>
      <c r="K27">
        <v>300</v>
      </c>
      <c r="L27">
        <v>265</v>
      </c>
      <c r="M27">
        <v>315</v>
      </c>
      <c r="O27">
        <f t="shared" si="0"/>
        <v>3086.4679999999998</v>
      </c>
      <c r="P27" t="s">
        <v>62</v>
      </c>
    </row>
    <row r="28" spans="1:16" x14ac:dyDescent="0.3">
      <c r="A28" t="s">
        <v>2</v>
      </c>
      <c r="B28" t="s">
        <v>11</v>
      </c>
      <c r="C28" t="s">
        <v>12</v>
      </c>
      <c r="D28" t="s">
        <v>39</v>
      </c>
      <c r="E28" t="s">
        <v>63</v>
      </c>
      <c r="F28" t="s">
        <v>41</v>
      </c>
      <c r="G28">
        <v>3</v>
      </c>
      <c r="H28" t="s">
        <v>37</v>
      </c>
      <c r="I28" t="s">
        <v>23</v>
      </c>
      <c r="J28">
        <v>80</v>
      </c>
      <c r="K28">
        <v>320</v>
      </c>
      <c r="L28">
        <v>265</v>
      </c>
      <c r="M28">
        <v>315</v>
      </c>
      <c r="O28">
        <f t="shared" si="0"/>
        <v>3086.4679999999998</v>
      </c>
    </row>
    <row r="29" spans="1:16" x14ac:dyDescent="0.3">
      <c r="A29" t="s">
        <v>2</v>
      </c>
      <c r="B29" t="s">
        <v>11</v>
      </c>
      <c r="C29" t="s">
        <v>12</v>
      </c>
      <c r="D29" t="s">
        <v>39</v>
      </c>
      <c r="E29" t="s">
        <v>63</v>
      </c>
      <c r="F29" t="s">
        <v>23</v>
      </c>
      <c r="G29">
        <v>3</v>
      </c>
      <c r="H29" t="s">
        <v>37</v>
      </c>
      <c r="I29" t="s">
        <v>23</v>
      </c>
      <c r="J29">
        <v>80</v>
      </c>
      <c r="K29">
        <v>320</v>
      </c>
      <c r="L29">
        <v>265</v>
      </c>
      <c r="M29">
        <v>315</v>
      </c>
      <c r="O29">
        <f t="shared" si="0"/>
        <v>3086.4679999999998</v>
      </c>
    </row>
    <row r="30" spans="1:16" x14ac:dyDescent="0.3">
      <c r="A30" t="s">
        <v>2</v>
      </c>
      <c r="B30" t="s">
        <v>11</v>
      </c>
      <c r="C30" t="s">
        <v>12</v>
      </c>
      <c r="D30" t="s">
        <v>1</v>
      </c>
      <c r="E30" t="s">
        <v>32</v>
      </c>
      <c r="F30" t="s">
        <v>41</v>
      </c>
      <c r="G30">
        <v>3</v>
      </c>
      <c r="H30" t="s">
        <v>37</v>
      </c>
      <c r="I30" t="s">
        <v>23</v>
      </c>
      <c r="J30">
        <v>80</v>
      </c>
      <c r="K30">
        <v>350</v>
      </c>
      <c r="L30">
        <v>270</v>
      </c>
      <c r="M30">
        <v>315</v>
      </c>
      <c r="O30">
        <f>800*2.20462</f>
        <v>1763.6959999999999</v>
      </c>
    </row>
    <row r="31" spans="1:16" x14ac:dyDescent="0.3">
      <c r="A31" t="s">
        <v>2</v>
      </c>
      <c r="B31" t="s">
        <v>11</v>
      </c>
      <c r="C31" t="s">
        <v>12</v>
      </c>
      <c r="D31" t="s">
        <v>116</v>
      </c>
      <c r="E31" t="s">
        <v>22</v>
      </c>
      <c r="F31" t="s">
        <v>41</v>
      </c>
      <c r="G31">
        <v>3</v>
      </c>
      <c r="H31" t="s">
        <v>37</v>
      </c>
      <c r="I31" t="s">
        <v>23</v>
      </c>
      <c r="J31">
        <v>80</v>
      </c>
      <c r="K31">
        <v>350</v>
      </c>
      <c r="L31">
        <v>265</v>
      </c>
      <c r="M31">
        <v>325</v>
      </c>
      <c r="O31">
        <f t="shared" ref="O31:O37" si="1">1000*2.20462</f>
        <v>2204.62</v>
      </c>
    </row>
    <row r="32" spans="1:16" x14ac:dyDescent="0.3">
      <c r="A32" t="s">
        <v>2</v>
      </c>
      <c r="B32" t="s">
        <v>11</v>
      </c>
      <c r="C32" t="s">
        <v>12</v>
      </c>
      <c r="D32" t="s">
        <v>39</v>
      </c>
      <c r="E32" t="s">
        <v>22</v>
      </c>
      <c r="F32" t="s">
        <v>41</v>
      </c>
      <c r="G32">
        <v>3</v>
      </c>
      <c r="H32" t="s">
        <v>37</v>
      </c>
      <c r="I32" t="s">
        <v>23</v>
      </c>
      <c r="J32">
        <v>80</v>
      </c>
      <c r="K32">
        <v>350</v>
      </c>
      <c r="L32">
        <v>265</v>
      </c>
      <c r="M32">
        <v>325</v>
      </c>
      <c r="O32">
        <f t="shared" si="1"/>
        <v>2204.62</v>
      </c>
    </row>
    <row r="33" spans="1:15" x14ac:dyDescent="0.3">
      <c r="A33" t="s">
        <v>2</v>
      </c>
      <c r="B33" t="s">
        <v>11</v>
      </c>
      <c r="C33" t="s">
        <v>12</v>
      </c>
      <c r="D33" t="s">
        <v>50</v>
      </c>
      <c r="E33" t="s">
        <v>22</v>
      </c>
      <c r="F33" t="s">
        <v>41</v>
      </c>
      <c r="G33">
        <v>3</v>
      </c>
      <c r="H33" t="s">
        <v>37</v>
      </c>
      <c r="I33" t="s">
        <v>23</v>
      </c>
      <c r="J33">
        <v>80</v>
      </c>
      <c r="K33">
        <v>350</v>
      </c>
      <c r="L33">
        <v>265</v>
      </c>
      <c r="M33">
        <v>325</v>
      </c>
      <c r="O33">
        <f t="shared" si="1"/>
        <v>2204.62</v>
      </c>
    </row>
    <row r="34" spans="1:15" x14ac:dyDescent="0.3">
      <c r="A34" t="s">
        <v>2</v>
      </c>
      <c r="B34" t="s">
        <v>11</v>
      </c>
      <c r="C34" t="s">
        <v>12</v>
      </c>
      <c r="D34" t="s">
        <v>53</v>
      </c>
      <c r="E34" t="s">
        <v>22</v>
      </c>
      <c r="F34" t="s">
        <v>41</v>
      </c>
      <c r="G34">
        <v>3</v>
      </c>
      <c r="H34" t="s">
        <v>37</v>
      </c>
      <c r="I34" t="s">
        <v>23</v>
      </c>
      <c r="J34">
        <v>80</v>
      </c>
      <c r="K34">
        <v>350</v>
      </c>
      <c r="L34">
        <v>265</v>
      </c>
      <c r="M34">
        <v>325</v>
      </c>
      <c r="O34">
        <f t="shared" si="1"/>
        <v>2204.62</v>
      </c>
    </row>
    <row r="35" spans="1:15" x14ac:dyDescent="0.3">
      <c r="A35" t="s">
        <v>2</v>
      </c>
      <c r="B35" t="s">
        <v>11</v>
      </c>
      <c r="C35" t="s">
        <v>12</v>
      </c>
      <c r="D35" t="s">
        <v>64</v>
      </c>
      <c r="E35" t="s">
        <v>22</v>
      </c>
      <c r="F35" t="s">
        <v>41</v>
      </c>
      <c r="G35">
        <v>3</v>
      </c>
      <c r="H35" t="s">
        <v>37</v>
      </c>
      <c r="I35" t="s">
        <v>23</v>
      </c>
      <c r="J35">
        <v>80</v>
      </c>
      <c r="K35">
        <v>350</v>
      </c>
      <c r="L35">
        <v>265</v>
      </c>
      <c r="M35">
        <v>325</v>
      </c>
      <c r="O35">
        <f t="shared" si="1"/>
        <v>2204.62</v>
      </c>
    </row>
    <row r="36" spans="1:15" x14ac:dyDescent="0.3">
      <c r="A36" t="s">
        <v>2</v>
      </c>
      <c r="B36" t="s">
        <v>11</v>
      </c>
      <c r="C36" t="s">
        <v>12</v>
      </c>
      <c r="D36" t="s">
        <v>56</v>
      </c>
      <c r="E36" t="s">
        <v>22</v>
      </c>
      <c r="F36" t="s">
        <v>41</v>
      </c>
      <c r="G36">
        <v>3</v>
      </c>
      <c r="H36" t="s">
        <v>37</v>
      </c>
      <c r="I36" t="s">
        <v>23</v>
      </c>
      <c r="J36">
        <v>80</v>
      </c>
      <c r="K36">
        <v>350</v>
      </c>
      <c r="L36">
        <v>265</v>
      </c>
      <c r="M36">
        <v>325</v>
      </c>
      <c r="O36">
        <f t="shared" si="1"/>
        <v>2204.62</v>
      </c>
    </row>
    <row r="37" spans="1:15" x14ac:dyDescent="0.3">
      <c r="A37" t="s">
        <v>2</v>
      </c>
      <c r="B37" t="s">
        <v>11</v>
      </c>
      <c r="C37" t="s">
        <v>12</v>
      </c>
      <c r="D37" t="s">
        <v>1</v>
      </c>
      <c r="E37" t="s">
        <v>22</v>
      </c>
      <c r="F37" t="s">
        <v>41</v>
      </c>
      <c r="G37">
        <v>3</v>
      </c>
      <c r="H37" t="s">
        <v>37</v>
      </c>
      <c r="I37" t="s">
        <v>23</v>
      </c>
      <c r="J37">
        <v>80</v>
      </c>
      <c r="K37">
        <v>350</v>
      </c>
      <c r="L37">
        <v>265</v>
      </c>
      <c r="M37">
        <v>325</v>
      </c>
      <c r="O37">
        <f t="shared" si="1"/>
        <v>2204.62</v>
      </c>
    </row>
    <row r="38" spans="1:15" x14ac:dyDescent="0.3">
      <c r="A38" t="s">
        <v>2</v>
      </c>
      <c r="B38" t="s">
        <v>11</v>
      </c>
      <c r="C38" t="s">
        <v>12</v>
      </c>
      <c r="D38" t="s">
        <v>59</v>
      </c>
      <c r="E38" t="s">
        <v>11</v>
      </c>
      <c r="F38" t="s">
        <v>65</v>
      </c>
      <c r="G38">
        <v>3</v>
      </c>
      <c r="H38" t="s">
        <v>37</v>
      </c>
      <c r="I38" t="s">
        <v>23</v>
      </c>
      <c r="J38">
        <v>150</v>
      </c>
      <c r="K38">
        <v>300</v>
      </c>
      <c r="L38">
        <v>250</v>
      </c>
      <c r="M38">
        <v>290</v>
      </c>
      <c r="O38">
        <f>3600*2.20462</f>
        <v>7936.6319999999996</v>
      </c>
    </row>
    <row r="39" spans="1:15" x14ac:dyDescent="0.3">
      <c r="A39" t="s">
        <v>2</v>
      </c>
      <c r="B39" t="s">
        <v>11</v>
      </c>
      <c r="C39" t="s">
        <v>12</v>
      </c>
      <c r="D39" t="s">
        <v>66</v>
      </c>
      <c r="E39" t="s">
        <v>35</v>
      </c>
      <c r="F39" t="s">
        <v>41</v>
      </c>
      <c r="G39">
        <v>3</v>
      </c>
      <c r="H39" t="s">
        <v>37</v>
      </c>
      <c r="I39" t="s">
        <v>23</v>
      </c>
      <c r="J39">
        <v>80</v>
      </c>
      <c r="K39">
        <v>280</v>
      </c>
      <c r="L39">
        <v>250</v>
      </c>
      <c r="M39">
        <v>300</v>
      </c>
      <c r="O39">
        <f>1900*2.20462</f>
        <v>4188.7779999999993</v>
      </c>
    </row>
    <row r="40" spans="1:15" x14ac:dyDescent="0.3">
      <c r="A40" t="s">
        <v>2</v>
      </c>
      <c r="B40" t="s">
        <v>11</v>
      </c>
      <c r="C40" t="s">
        <v>12</v>
      </c>
      <c r="D40" t="s">
        <v>1</v>
      </c>
      <c r="E40" t="s">
        <v>29</v>
      </c>
      <c r="F40" t="s">
        <v>41</v>
      </c>
      <c r="G40">
        <v>3</v>
      </c>
      <c r="H40" t="s">
        <v>37</v>
      </c>
      <c r="I40" t="s">
        <v>23</v>
      </c>
      <c r="J40">
        <v>100</v>
      </c>
      <c r="K40">
        <v>270</v>
      </c>
      <c r="L40">
        <v>250</v>
      </c>
      <c r="M40">
        <v>270</v>
      </c>
      <c r="O40">
        <f>3600*2.20462</f>
        <v>7936.6319999999996</v>
      </c>
    </row>
    <row r="41" spans="1:15" x14ac:dyDescent="0.3">
      <c r="A41" t="s">
        <v>2</v>
      </c>
      <c r="B41" t="s">
        <v>11</v>
      </c>
      <c r="C41" t="s">
        <v>12</v>
      </c>
      <c r="D41" t="s">
        <v>1</v>
      </c>
      <c r="E41" t="s">
        <v>30</v>
      </c>
      <c r="F41" t="s">
        <v>69</v>
      </c>
      <c r="G41">
        <v>2</v>
      </c>
      <c r="H41" t="s">
        <v>37</v>
      </c>
      <c r="I41" t="s">
        <v>23</v>
      </c>
      <c r="J41">
        <v>150</v>
      </c>
      <c r="K41">
        <v>300</v>
      </c>
      <c r="L41">
        <v>250</v>
      </c>
      <c r="M41">
        <v>290</v>
      </c>
      <c r="O41">
        <f>2800*2.20462</f>
        <v>6172.9359999999997</v>
      </c>
    </row>
    <row r="42" spans="1:15" x14ac:dyDescent="0.3">
      <c r="A42" t="s">
        <v>2</v>
      </c>
      <c r="B42" t="s">
        <v>11</v>
      </c>
      <c r="C42" t="s">
        <v>12</v>
      </c>
      <c r="D42" t="s">
        <v>1</v>
      </c>
      <c r="E42" t="s">
        <v>0</v>
      </c>
      <c r="F42" t="s">
        <v>41</v>
      </c>
      <c r="G42">
        <v>3</v>
      </c>
      <c r="H42" t="s">
        <v>37</v>
      </c>
      <c r="I42" t="s">
        <v>23</v>
      </c>
      <c r="J42">
        <v>150</v>
      </c>
      <c r="K42">
        <v>280</v>
      </c>
      <c r="L42">
        <v>265</v>
      </c>
      <c r="M42">
        <v>285</v>
      </c>
      <c r="O42">
        <f>3600 *2.20462</f>
        <v>7936.6319999999996</v>
      </c>
    </row>
    <row r="43" spans="1:15" x14ac:dyDescent="0.3">
      <c r="A43" t="s">
        <v>2</v>
      </c>
      <c r="B43" t="s">
        <v>11</v>
      </c>
      <c r="C43" t="s">
        <v>12</v>
      </c>
      <c r="D43" t="s">
        <v>36</v>
      </c>
      <c r="E43" t="s">
        <v>0</v>
      </c>
      <c r="F43" t="s">
        <v>41</v>
      </c>
      <c r="G43">
        <v>3</v>
      </c>
      <c r="H43" t="s">
        <v>37</v>
      </c>
      <c r="I43" t="s">
        <v>23</v>
      </c>
      <c r="J43">
        <v>150</v>
      </c>
      <c r="K43">
        <v>280</v>
      </c>
      <c r="L43">
        <v>265</v>
      </c>
      <c r="M43">
        <v>285</v>
      </c>
      <c r="O43">
        <f>3600 *2.20462</f>
        <v>7936.6319999999996</v>
      </c>
    </row>
    <row r="44" spans="1:15" x14ac:dyDescent="0.3">
      <c r="A44" t="s">
        <v>1</v>
      </c>
      <c r="B44" t="s">
        <v>70</v>
      </c>
      <c r="C44" t="s">
        <v>41</v>
      </c>
      <c r="D44" t="s">
        <v>2</v>
      </c>
      <c r="E44" t="s">
        <v>0</v>
      </c>
      <c r="F44" t="s">
        <v>41</v>
      </c>
      <c r="G44" t="s">
        <v>37</v>
      </c>
      <c r="H44">
        <v>3</v>
      </c>
      <c r="I44" t="s">
        <v>23</v>
      </c>
      <c r="J44">
        <v>120</v>
      </c>
      <c r="K44">
        <v>310</v>
      </c>
      <c r="L44">
        <v>275</v>
      </c>
      <c r="M44">
        <v>290</v>
      </c>
    </row>
    <row r="45" spans="1:15" x14ac:dyDescent="0.3">
      <c r="A45" t="s">
        <v>71</v>
      </c>
      <c r="B45" t="s">
        <v>70</v>
      </c>
      <c r="C45" t="s">
        <v>100</v>
      </c>
      <c r="D45" t="s">
        <v>2</v>
      </c>
      <c r="E45" t="s">
        <v>0</v>
      </c>
      <c r="F45" t="s">
        <v>41</v>
      </c>
      <c r="G45" t="s">
        <v>37</v>
      </c>
      <c r="H45">
        <v>3</v>
      </c>
      <c r="I45" t="s">
        <v>23</v>
      </c>
      <c r="J45">
        <v>120</v>
      </c>
      <c r="K45">
        <v>310</v>
      </c>
      <c r="L45">
        <v>275</v>
      </c>
      <c r="M45">
        <v>290</v>
      </c>
    </row>
    <row r="46" spans="1:15" x14ac:dyDescent="0.3">
      <c r="A46" t="s">
        <v>2</v>
      </c>
      <c r="B46" t="s">
        <v>11</v>
      </c>
      <c r="C46" t="s">
        <v>12</v>
      </c>
      <c r="D46" t="s">
        <v>66</v>
      </c>
      <c r="E46" t="s">
        <v>33</v>
      </c>
      <c r="F46" t="s">
        <v>78</v>
      </c>
      <c r="G46">
        <v>3</v>
      </c>
      <c r="H46" t="s">
        <v>37</v>
      </c>
      <c r="I46" t="s">
        <v>67</v>
      </c>
      <c r="J46">
        <v>150</v>
      </c>
      <c r="K46">
        <v>350</v>
      </c>
      <c r="L46">
        <v>250</v>
      </c>
      <c r="M46">
        <v>300</v>
      </c>
      <c r="O46">
        <f t="shared" ref="O46:O51" si="2">1100*2.20462</f>
        <v>2425.0819999999999</v>
      </c>
    </row>
    <row r="47" spans="1:15" x14ac:dyDescent="0.3">
      <c r="A47" t="s">
        <v>2</v>
      </c>
      <c r="B47" t="s">
        <v>11</v>
      </c>
      <c r="C47" t="s">
        <v>12</v>
      </c>
      <c r="D47" t="s">
        <v>66</v>
      </c>
      <c r="E47" t="s">
        <v>33</v>
      </c>
      <c r="F47" t="s">
        <v>79</v>
      </c>
      <c r="G47">
        <v>3</v>
      </c>
      <c r="H47" t="s">
        <v>37</v>
      </c>
      <c r="I47" t="s">
        <v>67</v>
      </c>
      <c r="J47">
        <v>150</v>
      </c>
      <c r="K47">
        <v>350</v>
      </c>
      <c r="L47">
        <v>250</v>
      </c>
      <c r="M47">
        <v>300</v>
      </c>
      <c r="O47">
        <f t="shared" si="2"/>
        <v>2425.0819999999999</v>
      </c>
    </row>
    <row r="48" spans="1:15" x14ac:dyDescent="0.3">
      <c r="A48" t="s">
        <v>2</v>
      </c>
      <c r="B48" t="s">
        <v>11</v>
      </c>
      <c r="C48" t="s">
        <v>12</v>
      </c>
      <c r="D48" t="s">
        <v>66</v>
      </c>
      <c r="E48" t="s">
        <v>21</v>
      </c>
      <c r="F48" t="s">
        <v>42</v>
      </c>
      <c r="G48">
        <v>3</v>
      </c>
      <c r="H48" t="s">
        <v>37</v>
      </c>
      <c r="I48" t="s">
        <v>67</v>
      </c>
      <c r="J48">
        <v>150</v>
      </c>
      <c r="K48">
        <v>350</v>
      </c>
      <c r="L48">
        <v>250</v>
      </c>
      <c r="M48">
        <v>300</v>
      </c>
      <c r="O48">
        <f t="shared" si="2"/>
        <v>2425.0819999999999</v>
      </c>
    </row>
    <row r="49" spans="1:15" x14ac:dyDescent="0.3">
      <c r="A49" t="s">
        <v>2</v>
      </c>
      <c r="B49" t="s">
        <v>11</v>
      </c>
      <c r="C49" t="s">
        <v>12</v>
      </c>
      <c r="D49" t="s">
        <v>73</v>
      </c>
      <c r="E49" t="s">
        <v>33</v>
      </c>
      <c r="F49" t="s">
        <v>41</v>
      </c>
      <c r="G49">
        <v>3</v>
      </c>
      <c r="H49" t="s">
        <v>37</v>
      </c>
      <c r="I49" t="s">
        <v>67</v>
      </c>
      <c r="J49">
        <v>150</v>
      </c>
      <c r="K49">
        <v>350</v>
      </c>
      <c r="L49">
        <v>250</v>
      </c>
      <c r="M49">
        <v>300</v>
      </c>
      <c r="O49">
        <f t="shared" si="2"/>
        <v>2425.0819999999999</v>
      </c>
    </row>
    <row r="50" spans="1:15" x14ac:dyDescent="0.3">
      <c r="A50" t="s">
        <v>2</v>
      </c>
      <c r="B50" t="s">
        <v>11</v>
      </c>
      <c r="C50" t="s">
        <v>12</v>
      </c>
      <c r="D50" t="s">
        <v>73</v>
      </c>
      <c r="E50" t="s">
        <v>33</v>
      </c>
      <c r="F50" t="s">
        <v>43</v>
      </c>
      <c r="G50">
        <v>3</v>
      </c>
      <c r="H50" t="s">
        <v>37</v>
      </c>
      <c r="I50" t="s">
        <v>67</v>
      </c>
      <c r="J50">
        <v>150</v>
      </c>
      <c r="K50">
        <v>350</v>
      </c>
      <c r="L50">
        <v>250</v>
      </c>
      <c r="M50">
        <v>300</v>
      </c>
      <c r="O50">
        <f t="shared" si="2"/>
        <v>2425.0819999999999</v>
      </c>
    </row>
    <row r="51" spans="1:15" x14ac:dyDescent="0.3">
      <c r="A51" t="s">
        <v>2</v>
      </c>
      <c r="B51" t="s">
        <v>11</v>
      </c>
      <c r="C51" t="s">
        <v>12</v>
      </c>
      <c r="D51" t="s">
        <v>73</v>
      </c>
      <c r="E51" t="s">
        <v>33</v>
      </c>
      <c r="F51" t="s">
        <v>24</v>
      </c>
      <c r="G51">
        <v>3</v>
      </c>
      <c r="H51" t="s">
        <v>37</v>
      </c>
      <c r="I51" t="s">
        <v>67</v>
      </c>
      <c r="J51">
        <v>150</v>
      </c>
      <c r="K51">
        <v>350</v>
      </c>
      <c r="L51">
        <v>250</v>
      </c>
      <c r="M51">
        <v>300</v>
      </c>
      <c r="O51">
        <f t="shared" si="2"/>
        <v>2425.0819999999999</v>
      </c>
    </row>
    <row r="52" spans="1:15" x14ac:dyDescent="0.3">
      <c r="A52" t="s">
        <v>2</v>
      </c>
      <c r="B52" t="s">
        <v>11</v>
      </c>
      <c r="C52" t="s">
        <v>12</v>
      </c>
      <c r="D52" t="s">
        <v>74</v>
      </c>
      <c r="E52" t="s">
        <v>80</v>
      </c>
      <c r="F52" t="s">
        <v>41</v>
      </c>
      <c r="G52">
        <v>3</v>
      </c>
      <c r="H52" t="s">
        <v>37</v>
      </c>
      <c r="I52" t="s">
        <v>67</v>
      </c>
      <c r="J52">
        <v>150</v>
      </c>
      <c r="K52">
        <v>350</v>
      </c>
      <c r="L52">
        <v>250</v>
      </c>
      <c r="M52">
        <v>300</v>
      </c>
      <c r="O52">
        <f t="shared" ref="O52:O56" si="3">1100*2.20462</f>
        <v>2425.0819999999999</v>
      </c>
    </row>
    <row r="53" spans="1:15" x14ac:dyDescent="0.3">
      <c r="A53" t="s">
        <v>2</v>
      </c>
      <c r="B53" t="s">
        <v>11</v>
      </c>
      <c r="C53" t="s">
        <v>12</v>
      </c>
      <c r="D53" t="s">
        <v>74</v>
      </c>
      <c r="E53" t="s">
        <v>80</v>
      </c>
      <c r="F53" t="s">
        <v>23</v>
      </c>
      <c r="G53">
        <v>3</v>
      </c>
      <c r="H53" t="s">
        <v>37</v>
      </c>
      <c r="I53" t="s">
        <v>67</v>
      </c>
      <c r="J53">
        <v>150</v>
      </c>
      <c r="K53">
        <v>350</v>
      </c>
      <c r="L53">
        <v>250</v>
      </c>
      <c r="M53">
        <v>300</v>
      </c>
      <c r="O53">
        <f t="shared" si="3"/>
        <v>2425.0819999999999</v>
      </c>
    </row>
    <row r="54" spans="1:15" x14ac:dyDescent="0.3">
      <c r="A54" t="s">
        <v>2</v>
      </c>
      <c r="B54" t="s">
        <v>11</v>
      </c>
      <c r="C54" t="s">
        <v>12</v>
      </c>
      <c r="D54" t="s">
        <v>75</v>
      </c>
      <c r="E54" t="s">
        <v>33</v>
      </c>
      <c r="F54" t="s">
        <v>24</v>
      </c>
      <c r="G54">
        <v>3</v>
      </c>
      <c r="H54" t="s">
        <v>37</v>
      </c>
      <c r="I54" t="s">
        <v>67</v>
      </c>
      <c r="J54">
        <v>150</v>
      </c>
      <c r="K54">
        <v>350</v>
      </c>
      <c r="L54">
        <v>250</v>
      </c>
      <c r="M54">
        <v>300</v>
      </c>
      <c r="O54">
        <f t="shared" si="3"/>
        <v>2425.0819999999999</v>
      </c>
    </row>
    <row r="55" spans="1:15" x14ac:dyDescent="0.3">
      <c r="A55" t="s">
        <v>2</v>
      </c>
      <c r="B55" t="s">
        <v>11</v>
      </c>
      <c r="C55" t="s">
        <v>12</v>
      </c>
      <c r="D55" t="s">
        <v>76</v>
      </c>
      <c r="E55" t="s">
        <v>33</v>
      </c>
      <c r="F55" t="s">
        <v>43</v>
      </c>
      <c r="G55">
        <v>3</v>
      </c>
      <c r="H55" t="s">
        <v>37</v>
      </c>
      <c r="I55" t="s">
        <v>67</v>
      </c>
      <c r="J55">
        <v>150</v>
      </c>
      <c r="K55">
        <v>350</v>
      </c>
      <c r="L55">
        <v>250</v>
      </c>
      <c r="M55">
        <v>300</v>
      </c>
      <c r="O55">
        <f t="shared" si="3"/>
        <v>2425.0819999999999</v>
      </c>
    </row>
    <row r="56" spans="1:15" x14ac:dyDescent="0.3">
      <c r="A56" t="s">
        <v>2</v>
      </c>
      <c r="B56" t="s">
        <v>11</v>
      </c>
      <c r="C56" t="s">
        <v>12</v>
      </c>
      <c r="D56" t="s">
        <v>76</v>
      </c>
      <c r="E56" t="s">
        <v>33</v>
      </c>
      <c r="F56" t="s">
        <v>24</v>
      </c>
      <c r="G56">
        <v>3</v>
      </c>
      <c r="H56" t="s">
        <v>37</v>
      </c>
      <c r="I56" t="s">
        <v>67</v>
      </c>
      <c r="J56">
        <v>150</v>
      </c>
      <c r="K56">
        <v>350</v>
      </c>
      <c r="L56">
        <v>250</v>
      </c>
      <c r="M56">
        <v>300</v>
      </c>
      <c r="O56">
        <f t="shared" si="3"/>
        <v>2425.0819999999999</v>
      </c>
    </row>
    <row r="57" spans="1:15" x14ac:dyDescent="0.3">
      <c r="A57" t="s">
        <v>2</v>
      </c>
      <c r="B57" t="s">
        <v>11</v>
      </c>
      <c r="C57" t="s">
        <v>12</v>
      </c>
      <c r="D57" t="s">
        <v>77</v>
      </c>
      <c r="E57" t="s">
        <v>81</v>
      </c>
      <c r="F57" t="s">
        <v>41</v>
      </c>
      <c r="G57">
        <v>3</v>
      </c>
      <c r="H57" t="s">
        <v>37</v>
      </c>
      <c r="I57" t="s">
        <v>67</v>
      </c>
      <c r="J57">
        <v>150</v>
      </c>
      <c r="K57">
        <v>350</v>
      </c>
      <c r="L57">
        <v>250</v>
      </c>
      <c r="M57">
        <v>300</v>
      </c>
      <c r="O57">
        <f t="shared" ref="O57:O62" si="4">1100*2.20462</f>
        <v>2425.0819999999999</v>
      </c>
    </row>
    <row r="58" spans="1:15" x14ac:dyDescent="0.3">
      <c r="A58" t="s">
        <v>2</v>
      </c>
      <c r="B58" t="s">
        <v>11</v>
      </c>
      <c r="C58" t="s">
        <v>12</v>
      </c>
      <c r="D58" t="s">
        <v>77</v>
      </c>
      <c r="E58" t="s">
        <v>81</v>
      </c>
      <c r="F58" t="s">
        <v>23</v>
      </c>
      <c r="G58">
        <v>3</v>
      </c>
      <c r="H58" t="s">
        <v>37</v>
      </c>
      <c r="I58" t="s">
        <v>67</v>
      </c>
      <c r="J58">
        <v>150</v>
      </c>
      <c r="K58">
        <v>350</v>
      </c>
      <c r="L58">
        <v>250</v>
      </c>
      <c r="M58">
        <v>300</v>
      </c>
      <c r="O58">
        <f t="shared" si="4"/>
        <v>2425.0819999999999</v>
      </c>
    </row>
    <row r="59" spans="1:15" x14ac:dyDescent="0.3">
      <c r="A59" t="s">
        <v>2</v>
      </c>
      <c r="B59" t="s">
        <v>11</v>
      </c>
      <c r="C59" t="s">
        <v>12</v>
      </c>
      <c r="D59" t="s">
        <v>86</v>
      </c>
      <c r="E59" t="s">
        <v>82</v>
      </c>
      <c r="F59" t="s">
        <v>83</v>
      </c>
      <c r="G59">
        <v>3</v>
      </c>
      <c r="H59" t="s">
        <v>37</v>
      </c>
      <c r="I59" t="s">
        <v>67</v>
      </c>
      <c r="J59">
        <v>20</v>
      </c>
      <c r="K59">
        <v>350</v>
      </c>
      <c r="L59">
        <v>260</v>
      </c>
      <c r="M59">
        <v>325</v>
      </c>
      <c r="O59">
        <f t="shared" si="4"/>
        <v>2425.0819999999999</v>
      </c>
    </row>
    <row r="60" spans="1:15" x14ac:dyDescent="0.3">
      <c r="A60" t="s">
        <v>2</v>
      </c>
      <c r="B60" t="s">
        <v>11</v>
      </c>
      <c r="C60" t="s">
        <v>12</v>
      </c>
      <c r="D60" t="s">
        <v>84</v>
      </c>
      <c r="E60" t="s">
        <v>82</v>
      </c>
      <c r="F60" t="s">
        <v>82</v>
      </c>
      <c r="G60">
        <v>3</v>
      </c>
      <c r="H60" t="s">
        <v>37</v>
      </c>
      <c r="I60" t="s">
        <v>67</v>
      </c>
      <c r="J60">
        <v>20</v>
      </c>
      <c r="K60">
        <v>350</v>
      </c>
      <c r="L60">
        <v>260</v>
      </c>
      <c r="M60">
        <v>325</v>
      </c>
      <c r="O60">
        <f t="shared" si="4"/>
        <v>2425.0819999999999</v>
      </c>
    </row>
    <row r="61" spans="1:15" x14ac:dyDescent="0.3">
      <c r="A61" t="s">
        <v>2</v>
      </c>
      <c r="B61" t="s">
        <v>11</v>
      </c>
      <c r="C61" t="s">
        <v>12</v>
      </c>
      <c r="D61" t="s">
        <v>77</v>
      </c>
      <c r="E61" t="s">
        <v>82</v>
      </c>
      <c r="F61" t="s">
        <v>82</v>
      </c>
      <c r="G61">
        <v>3</v>
      </c>
      <c r="H61" t="s">
        <v>37</v>
      </c>
      <c r="I61" t="s">
        <v>67</v>
      </c>
      <c r="J61">
        <v>20</v>
      </c>
      <c r="K61">
        <v>350</v>
      </c>
      <c r="L61">
        <v>260</v>
      </c>
      <c r="M61">
        <v>325</v>
      </c>
      <c r="O61">
        <f t="shared" si="4"/>
        <v>2425.0819999999999</v>
      </c>
    </row>
    <row r="62" spans="1:15" x14ac:dyDescent="0.3">
      <c r="A62" t="s">
        <v>2</v>
      </c>
      <c r="B62" t="s">
        <v>11</v>
      </c>
      <c r="C62" t="s">
        <v>12</v>
      </c>
      <c r="D62" t="s">
        <v>116</v>
      </c>
      <c r="E62" t="s">
        <v>82</v>
      </c>
      <c r="F62" t="s">
        <v>85</v>
      </c>
      <c r="G62">
        <v>3</v>
      </c>
      <c r="H62" t="s">
        <v>37</v>
      </c>
      <c r="I62" t="s">
        <v>67</v>
      </c>
      <c r="J62">
        <v>20</v>
      </c>
      <c r="K62">
        <v>350</v>
      </c>
      <c r="L62">
        <v>260</v>
      </c>
      <c r="M62">
        <v>325</v>
      </c>
      <c r="O62">
        <f t="shared" si="4"/>
        <v>2425.0819999999999</v>
      </c>
    </row>
    <row r="63" spans="1:15" x14ac:dyDescent="0.3">
      <c r="A63" t="s">
        <v>2</v>
      </c>
      <c r="B63" t="s">
        <v>11</v>
      </c>
      <c r="C63" t="s">
        <v>12</v>
      </c>
      <c r="D63" t="s">
        <v>116</v>
      </c>
      <c r="E63" t="s">
        <v>22</v>
      </c>
      <c r="F63" t="s">
        <v>23</v>
      </c>
      <c r="G63">
        <v>3</v>
      </c>
      <c r="H63" t="s">
        <v>37</v>
      </c>
      <c r="I63" t="s">
        <v>67</v>
      </c>
      <c r="J63">
        <v>150</v>
      </c>
      <c r="K63">
        <v>350</v>
      </c>
      <c r="L63">
        <v>260</v>
      </c>
      <c r="M63">
        <v>300</v>
      </c>
      <c r="O63">
        <f>900*2.20462</f>
        <v>1984.1579999999999</v>
      </c>
    </row>
    <row r="64" spans="1:15" x14ac:dyDescent="0.3">
      <c r="A64" t="s">
        <v>2</v>
      </c>
      <c r="B64" t="s">
        <v>11</v>
      </c>
      <c r="C64" t="s">
        <v>12</v>
      </c>
      <c r="D64" t="s">
        <v>86</v>
      </c>
      <c r="E64" t="s">
        <v>22</v>
      </c>
      <c r="F64" t="s">
        <v>23</v>
      </c>
      <c r="G64">
        <v>3</v>
      </c>
      <c r="H64" t="s">
        <v>37</v>
      </c>
      <c r="I64" t="s">
        <v>67</v>
      </c>
      <c r="J64">
        <v>150</v>
      </c>
      <c r="K64">
        <v>350</v>
      </c>
      <c r="L64">
        <v>260</v>
      </c>
      <c r="M64">
        <v>300</v>
      </c>
      <c r="O64">
        <f t="shared" ref="O64:O69" si="5">900*2.20462</f>
        <v>1984.1579999999999</v>
      </c>
    </row>
    <row r="65" spans="1:15" x14ac:dyDescent="0.3">
      <c r="A65" t="s">
        <v>2</v>
      </c>
      <c r="B65" t="s">
        <v>11</v>
      </c>
      <c r="C65" t="s">
        <v>12</v>
      </c>
      <c r="D65" t="s">
        <v>56</v>
      </c>
      <c r="E65" t="s">
        <v>22</v>
      </c>
      <c r="F65" t="s">
        <v>23</v>
      </c>
      <c r="G65">
        <v>3</v>
      </c>
      <c r="H65" t="s">
        <v>37</v>
      </c>
      <c r="I65" t="s">
        <v>67</v>
      </c>
      <c r="J65">
        <v>150</v>
      </c>
      <c r="K65">
        <v>350</v>
      </c>
      <c r="L65">
        <v>260</v>
      </c>
      <c r="M65">
        <v>300</v>
      </c>
      <c r="O65">
        <f t="shared" si="5"/>
        <v>1984.1579999999999</v>
      </c>
    </row>
    <row r="66" spans="1:15" x14ac:dyDescent="0.3">
      <c r="A66" t="s">
        <v>2</v>
      </c>
      <c r="B66" t="s">
        <v>11</v>
      </c>
      <c r="C66" t="s">
        <v>12</v>
      </c>
      <c r="D66" t="s">
        <v>73</v>
      </c>
      <c r="E66" t="s">
        <v>22</v>
      </c>
      <c r="F66" t="s">
        <v>23</v>
      </c>
      <c r="G66">
        <v>3</v>
      </c>
      <c r="H66" t="s">
        <v>37</v>
      </c>
      <c r="I66" t="s">
        <v>67</v>
      </c>
      <c r="J66">
        <v>150</v>
      </c>
      <c r="K66">
        <v>350</v>
      </c>
      <c r="L66">
        <v>260</v>
      </c>
      <c r="M66">
        <v>300</v>
      </c>
      <c r="O66">
        <f t="shared" si="5"/>
        <v>1984.1579999999999</v>
      </c>
    </row>
    <row r="67" spans="1:15" x14ac:dyDescent="0.3">
      <c r="A67" t="s">
        <v>2</v>
      </c>
      <c r="B67" t="s">
        <v>11</v>
      </c>
      <c r="C67" t="s">
        <v>12</v>
      </c>
      <c r="D67" t="s">
        <v>39</v>
      </c>
      <c r="E67" t="s">
        <v>22</v>
      </c>
      <c r="F67" t="s">
        <v>23</v>
      </c>
      <c r="G67">
        <v>3</v>
      </c>
      <c r="H67" t="s">
        <v>37</v>
      </c>
      <c r="I67" t="s">
        <v>67</v>
      </c>
      <c r="J67">
        <v>150</v>
      </c>
      <c r="K67">
        <v>350</v>
      </c>
      <c r="L67">
        <v>260</v>
      </c>
      <c r="M67">
        <v>300</v>
      </c>
      <c r="O67">
        <f t="shared" si="5"/>
        <v>1984.1579999999999</v>
      </c>
    </row>
    <row r="68" spans="1:15" x14ac:dyDescent="0.3">
      <c r="A68" t="s">
        <v>2</v>
      </c>
      <c r="B68" t="s">
        <v>11</v>
      </c>
      <c r="C68" t="s">
        <v>12</v>
      </c>
      <c r="D68" t="s">
        <v>66</v>
      </c>
      <c r="E68" t="s">
        <v>22</v>
      </c>
      <c r="F68" t="s">
        <v>43</v>
      </c>
      <c r="G68">
        <v>3</v>
      </c>
      <c r="H68" t="s">
        <v>37</v>
      </c>
      <c r="I68" t="s">
        <v>67</v>
      </c>
      <c r="J68">
        <v>150</v>
      </c>
      <c r="K68">
        <v>350</v>
      </c>
      <c r="L68">
        <v>260</v>
      </c>
      <c r="M68">
        <v>300</v>
      </c>
      <c r="O68">
        <f t="shared" si="5"/>
        <v>1984.1579999999999</v>
      </c>
    </row>
    <row r="69" spans="1:15" x14ac:dyDescent="0.3">
      <c r="A69" t="s">
        <v>2</v>
      </c>
      <c r="B69" t="s">
        <v>11</v>
      </c>
      <c r="C69" t="s">
        <v>12</v>
      </c>
      <c r="D69" t="s">
        <v>73</v>
      </c>
      <c r="E69" t="s">
        <v>22</v>
      </c>
      <c r="F69" t="s">
        <v>43</v>
      </c>
      <c r="G69">
        <v>3</v>
      </c>
      <c r="H69" t="s">
        <v>37</v>
      </c>
      <c r="I69" t="s">
        <v>67</v>
      </c>
      <c r="J69">
        <v>150</v>
      </c>
      <c r="K69">
        <v>350</v>
      </c>
      <c r="L69">
        <v>260</v>
      </c>
      <c r="M69">
        <v>300</v>
      </c>
      <c r="O69">
        <f t="shared" si="5"/>
        <v>1984.1579999999999</v>
      </c>
    </row>
    <row r="70" spans="1:15" x14ac:dyDescent="0.3">
      <c r="A70" t="s">
        <v>2</v>
      </c>
      <c r="B70" t="s">
        <v>11</v>
      </c>
      <c r="C70" t="s">
        <v>12</v>
      </c>
      <c r="D70" t="s">
        <v>87</v>
      </c>
      <c r="E70" t="s">
        <v>88</v>
      </c>
      <c r="F70" t="s">
        <v>43</v>
      </c>
      <c r="G70">
        <v>3</v>
      </c>
      <c r="H70" t="s">
        <v>37</v>
      </c>
      <c r="I70" t="s">
        <v>67</v>
      </c>
      <c r="J70">
        <v>50</v>
      </c>
      <c r="K70">
        <v>330</v>
      </c>
      <c r="L70">
        <v>260</v>
      </c>
      <c r="M70">
        <v>325</v>
      </c>
      <c r="O70">
        <f>890*2.20462</f>
        <v>1962.1117999999999</v>
      </c>
    </row>
    <row r="71" spans="1:15" x14ac:dyDescent="0.3">
      <c r="A71" t="s">
        <v>2</v>
      </c>
      <c r="B71" t="s">
        <v>11</v>
      </c>
      <c r="C71" t="s">
        <v>12</v>
      </c>
      <c r="D71" t="s">
        <v>60</v>
      </c>
      <c r="E71" t="s">
        <v>88</v>
      </c>
      <c r="F71" t="s">
        <v>43</v>
      </c>
      <c r="G71">
        <v>3</v>
      </c>
      <c r="H71" t="s">
        <v>37</v>
      </c>
      <c r="I71" t="s">
        <v>67</v>
      </c>
      <c r="J71">
        <v>50</v>
      </c>
      <c r="K71">
        <v>330</v>
      </c>
      <c r="L71">
        <v>260</v>
      </c>
      <c r="M71">
        <v>325</v>
      </c>
      <c r="O71">
        <f t="shared" ref="O71:O73" si="6">890*2.20462</f>
        <v>1962.1117999999999</v>
      </c>
    </row>
    <row r="72" spans="1:15" x14ac:dyDescent="0.3">
      <c r="A72" t="s">
        <v>2</v>
      </c>
      <c r="B72" t="s">
        <v>11</v>
      </c>
      <c r="C72" t="s">
        <v>12</v>
      </c>
      <c r="D72" t="s">
        <v>87</v>
      </c>
      <c r="E72" t="s">
        <v>88</v>
      </c>
      <c r="F72" t="s">
        <v>24</v>
      </c>
      <c r="G72">
        <v>3</v>
      </c>
      <c r="H72" t="s">
        <v>37</v>
      </c>
      <c r="I72" t="s">
        <v>67</v>
      </c>
      <c r="J72">
        <v>50</v>
      </c>
      <c r="K72">
        <v>330</v>
      </c>
      <c r="L72">
        <v>260</v>
      </c>
      <c r="M72">
        <v>325</v>
      </c>
      <c r="O72">
        <f t="shared" si="6"/>
        <v>1962.1117999999999</v>
      </c>
    </row>
    <row r="73" spans="1:15" x14ac:dyDescent="0.3">
      <c r="A73" t="s">
        <v>2</v>
      </c>
      <c r="B73" t="s">
        <v>11</v>
      </c>
      <c r="C73" t="s">
        <v>12</v>
      </c>
      <c r="D73" t="s">
        <v>60</v>
      </c>
      <c r="E73" t="s">
        <v>88</v>
      </c>
      <c r="F73" t="s">
        <v>24</v>
      </c>
      <c r="G73">
        <v>3</v>
      </c>
      <c r="H73" t="s">
        <v>37</v>
      </c>
      <c r="I73" t="s">
        <v>67</v>
      </c>
      <c r="J73">
        <v>50</v>
      </c>
      <c r="K73">
        <v>330</v>
      </c>
      <c r="L73">
        <v>260</v>
      </c>
      <c r="M73">
        <v>325</v>
      </c>
      <c r="O73">
        <f t="shared" si="6"/>
        <v>1962.1117999999999</v>
      </c>
    </row>
    <row r="74" spans="1:15" x14ac:dyDescent="0.3">
      <c r="A74" t="s">
        <v>2</v>
      </c>
      <c r="B74" t="s">
        <v>11</v>
      </c>
      <c r="C74" t="s">
        <v>12</v>
      </c>
      <c r="D74" t="s">
        <v>89</v>
      </c>
      <c r="E74" t="s">
        <v>91</v>
      </c>
      <c r="F74" t="s">
        <v>23</v>
      </c>
      <c r="G74">
        <v>3</v>
      </c>
      <c r="H74" t="s">
        <v>37</v>
      </c>
      <c r="I74" t="s">
        <v>67</v>
      </c>
      <c r="J74">
        <v>100</v>
      </c>
      <c r="K74">
        <v>350</v>
      </c>
      <c r="L74">
        <v>180</v>
      </c>
      <c r="M74">
        <v>325</v>
      </c>
      <c r="O74">
        <f>1100*2.20462</f>
        <v>2425.0819999999999</v>
      </c>
    </row>
    <row r="75" spans="1:15" x14ac:dyDescent="0.3">
      <c r="A75" t="s">
        <v>2</v>
      </c>
      <c r="B75" t="s">
        <v>11</v>
      </c>
      <c r="C75" t="s">
        <v>12</v>
      </c>
      <c r="D75" t="s">
        <v>89</v>
      </c>
      <c r="E75" t="s">
        <v>91</v>
      </c>
      <c r="F75" t="s">
        <v>43</v>
      </c>
      <c r="G75">
        <v>3</v>
      </c>
      <c r="H75" t="s">
        <v>37</v>
      </c>
      <c r="I75" t="s">
        <v>67</v>
      </c>
      <c r="J75">
        <v>100</v>
      </c>
      <c r="K75">
        <v>350</v>
      </c>
      <c r="L75">
        <v>180</v>
      </c>
      <c r="M75">
        <v>325</v>
      </c>
      <c r="O75">
        <f t="shared" ref="O75:O78" si="7">1100*2.20462</f>
        <v>2425.0819999999999</v>
      </c>
    </row>
    <row r="76" spans="1:15" x14ac:dyDescent="0.3">
      <c r="A76" t="s">
        <v>2</v>
      </c>
      <c r="B76" t="s">
        <v>11</v>
      </c>
      <c r="C76" t="s">
        <v>12</v>
      </c>
      <c r="D76" t="s">
        <v>89</v>
      </c>
      <c r="E76" t="s">
        <v>91</v>
      </c>
      <c r="F76" t="s">
        <v>92</v>
      </c>
      <c r="G76">
        <v>3</v>
      </c>
      <c r="H76" t="s">
        <v>37</v>
      </c>
      <c r="I76" t="s">
        <v>67</v>
      </c>
      <c r="J76">
        <v>100</v>
      </c>
      <c r="K76">
        <v>350</v>
      </c>
      <c r="L76">
        <v>180</v>
      </c>
      <c r="M76">
        <v>325</v>
      </c>
      <c r="O76">
        <f t="shared" si="7"/>
        <v>2425.0819999999999</v>
      </c>
    </row>
    <row r="77" spans="1:15" x14ac:dyDescent="0.3">
      <c r="A77" t="s">
        <v>2</v>
      </c>
      <c r="B77" t="s">
        <v>11</v>
      </c>
      <c r="C77" t="s">
        <v>12</v>
      </c>
      <c r="D77" t="s">
        <v>90</v>
      </c>
      <c r="E77" t="s">
        <v>91</v>
      </c>
      <c r="F77" t="s">
        <v>93</v>
      </c>
      <c r="G77">
        <v>3</v>
      </c>
      <c r="H77" t="s">
        <v>37</v>
      </c>
      <c r="I77" t="s">
        <v>67</v>
      </c>
      <c r="J77">
        <v>100</v>
      </c>
      <c r="K77">
        <v>350</v>
      </c>
      <c r="L77">
        <v>180</v>
      </c>
      <c r="M77">
        <v>325</v>
      </c>
      <c r="O77">
        <f t="shared" si="7"/>
        <v>2425.0819999999999</v>
      </c>
    </row>
    <row r="78" spans="1:15" x14ac:dyDescent="0.3">
      <c r="A78" t="s">
        <v>2</v>
      </c>
      <c r="B78" t="s">
        <v>11</v>
      </c>
      <c r="C78" t="s">
        <v>12</v>
      </c>
      <c r="D78" t="s">
        <v>90</v>
      </c>
      <c r="E78" t="s">
        <v>91</v>
      </c>
      <c r="F78" t="s">
        <v>94</v>
      </c>
      <c r="G78">
        <v>3</v>
      </c>
      <c r="H78" t="s">
        <v>37</v>
      </c>
      <c r="I78" t="s">
        <v>67</v>
      </c>
      <c r="J78">
        <v>100</v>
      </c>
      <c r="K78">
        <v>350</v>
      </c>
      <c r="L78">
        <v>180</v>
      </c>
      <c r="M78">
        <v>325</v>
      </c>
      <c r="O78">
        <f t="shared" si="7"/>
        <v>2425.0819999999999</v>
      </c>
    </row>
    <row r="79" spans="1:15" x14ac:dyDescent="0.3">
      <c r="A79" t="s">
        <v>2</v>
      </c>
      <c r="B79" t="s">
        <v>11</v>
      </c>
      <c r="C79" t="s">
        <v>12</v>
      </c>
      <c r="D79" t="s">
        <v>75</v>
      </c>
      <c r="E79" t="s">
        <v>95</v>
      </c>
      <c r="F79" t="s">
        <v>96</v>
      </c>
      <c r="G79">
        <v>2</v>
      </c>
      <c r="H79" t="s">
        <v>37</v>
      </c>
      <c r="I79" t="s">
        <v>67</v>
      </c>
      <c r="J79">
        <v>100</v>
      </c>
      <c r="K79">
        <v>320</v>
      </c>
      <c r="L79">
        <v>250</v>
      </c>
      <c r="M79">
        <v>300</v>
      </c>
      <c r="O79">
        <f>900*2.20462</f>
        <v>1984.1579999999999</v>
      </c>
    </row>
    <row r="80" spans="1:15" x14ac:dyDescent="0.3">
      <c r="A80" t="s">
        <v>2</v>
      </c>
      <c r="B80" t="s">
        <v>11</v>
      </c>
      <c r="C80" t="s">
        <v>12</v>
      </c>
      <c r="D80" t="s">
        <v>90</v>
      </c>
      <c r="E80" t="s">
        <v>95</v>
      </c>
      <c r="F80" t="s">
        <v>97</v>
      </c>
      <c r="G80">
        <v>2</v>
      </c>
      <c r="H80" t="s">
        <v>37</v>
      </c>
      <c r="I80" t="s">
        <v>67</v>
      </c>
      <c r="J80">
        <v>100</v>
      </c>
      <c r="K80">
        <v>320</v>
      </c>
      <c r="L80">
        <v>250</v>
      </c>
      <c r="M80">
        <v>300</v>
      </c>
      <c r="O80">
        <f>900*2.20462</f>
        <v>1984.1579999999999</v>
      </c>
    </row>
    <row r="81" spans="1:16" x14ac:dyDescent="0.3">
      <c r="A81" t="s">
        <v>1</v>
      </c>
      <c r="B81" t="s">
        <v>70</v>
      </c>
      <c r="C81" t="s">
        <v>41</v>
      </c>
      <c r="D81" t="s">
        <v>2</v>
      </c>
      <c r="E81" t="s">
        <v>20</v>
      </c>
      <c r="F81" t="s">
        <v>41</v>
      </c>
      <c r="G81" t="s">
        <v>37</v>
      </c>
      <c r="H81">
        <v>3</v>
      </c>
      <c r="I81" t="s">
        <v>23</v>
      </c>
      <c r="J81">
        <v>200</v>
      </c>
      <c r="K81">
        <v>320</v>
      </c>
      <c r="L81">
        <v>250</v>
      </c>
      <c r="M81">
        <v>290</v>
      </c>
    </row>
    <row r="82" spans="1:16" x14ac:dyDescent="0.3">
      <c r="A82" t="s">
        <v>71</v>
      </c>
      <c r="B82" t="s">
        <v>72</v>
      </c>
      <c r="C82" t="s">
        <v>23</v>
      </c>
      <c r="D82" t="s">
        <v>2</v>
      </c>
      <c r="E82" t="s">
        <v>20</v>
      </c>
      <c r="F82" t="s">
        <v>41</v>
      </c>
      <c r="G82" t="s">
        <v>37</v>
      </c>
      <c r="H82">
        <v>0</v>
      </c>
      <c r="I82" t="s">
        <v>23</v>
      </c>
      <c r="J82">
        <v>200</v>
      </c>
      <c r="K82">
        <v>320</v>
      </c>
      <c r="L82">
        <v>250</v>
      </c>
      <c r="M82">
        <v>290</v>
      </c>
    </row>
    <row r="83" spans="1:16" x14ac:dyDescent="0.3">
      <c r="A83" t="s">
        <v>75</v>
      </c>
      <c r="B83" t="s">
        <v>98</v>
      </c>
      <c r="C83" t="s">
        <v>92</v>
      </c>
      <c r="D83" t="s">
        <v>2</v>
      </c>
      <c r="E83" t="s">
        <v>33</v>
      </c>
      <c r="F83" t="s">
        <v>79</v>
      </c>
      <c r="G83" t="s">
        <v>37</v>
      </c>
      <c r="H83">
        <v>1</v>
      </c>
      <c r="I83" t="s">
        <v>67</v>
      </c>
      <c r="J83">
        <v>150</v>
      </c>
      <c r="K83">
        <v>250</v>
      </c>
      <c r="L83">
        <v>230</v>
      </c>
      <c r="M83">
        <v>270</v>
      </c>
      <c r="P83" t="s">
        <v>99</v>
      </c>
    </row>
    <row r="84" spans="1:16" x14ac:dyDescent="0.3">
      <c r="A84" t="s">
        <v>75</v>
      </c>
      <c r="B84" t="s">
        <v>98</v>
      </c>
      <c r="C84" t="s">
        <v>92</v>
      </c>
      <c r="D84" t="s">
        <v>2</v>
      </c>
      <c r="E84" t="s">
        <v>21</v>
      </c>
      <c r="F84" t="s">
        <v>42</v>
      </c>
      <c r="G84" t="s">
        <v>37</v>
      </c>
      <c r="H84">
        <v>1</v>
      </c>
      <c r="I84" t="s">
        <v>67</v>
      </c>
      <c r="J84">
        <v>150</v>
      </c>
      <c r="K84">
        <v>250</v>
      </c>
      <c r="L84">
        <v>230</v>
      </c>
      <c r="M84">
        <v>270</v>
      </c>
      <c r="P84" t="s">
        <v>99</v>
      </c>
    </row>
    <row r="85" spans="1:16" x14ac:dyDescent="0.3">
      <c r="A85" t="s">
        <v>59</v>
      </c>
      <c r="B85" t="s">
        <v>11</v>
      </c>
      <c r="C85" t="s">
        <v>11</v>
      </c>
      <c r="D85" t="s">
        <v>2</v>
      </c>
      <c r="E85" t="s">
        <v>0</v>
      </c>
      <c r="F85" t="s">
        <v>41</v>
      </c>
      <c r="G85" t="s">
        <v>37</v>
      </c>
      <c r="H85">
        <v>3</v>
      </c>
      <c r="I85" t="s">
        <v>23</v>
      </c>
      <c r="J85">
        <v>150</v>
      </c>
      <c r="K85">
        <v>280</v>
      </c>
      <c r="L85">
        <v>265</v>
      </c>
      <c r="M85">
        <v>285</v>
      </c>
    </row>
    <row r="86" spans="1:16" x14ac:dyDescent="0.3">
      <c r="A86" t="s">
        <v>89</v>
      </c>
      <c r="B86" t="s">
        <v>11</v>
      </c>
      <c r="C86" t="s">
        <v>102</v>
      </c>
      <c r="D86" t="s">
        <v>2</v>
      </c>
      <c r="E86" t="s">
        <v>0</v>
      </c>
      <c r="F86" t="s">
        <v>41</v>
      </c>
      <c r="G86" t="s">
        <v>37</v>
      </c>
      <c r="H86">
        <v>3</v>
      </c>
      <c r="I86" t="s">
        <v>23</v>
      </c>
      <c r="J86">
        <v>150</v>
      </c>
      <c r="K86">
        <v>280</v>
      </c>
      <c r="L86">
        <v>265</v>
      </c>
      <c r="M86">
        <v>285</v>
      </c>
    </row>
    <row r="87" spans="1:16" x14ac:dyDescent="0.3">
      <c r="A87" t="s">
        <v>56</v>
      </c>
      <c r="B87" t="s">
        <v>11</v>
      </c>
      <c r="C87" t="s">
        <v>103</v>
      </c>
      <c r="D87" t="s">
        <v>2</v>
      </c>
      <c r="E87" t="s">
        <v>0</v>
      </c>
      <c r="F87" t="s">
        <v>41</v>
      </c>
      <c r="G87" t="s">
        <v>37</v>
      </c>
      <c r="H87">
        <v>3</v>
      </c>
      <c r="I87" t="s">
        <v>23</v>
      </c>
      <c r="J87">
        <v>150</v>
      </c>
      <c r="K87">
        <v>280</v>
      </c>
      <c r="L87">
        <v>265</v>
      </c>
      <c r="M87">
        <v>285</v>
      </c>
    </row>
    <row r="88" spans="1:16" x14ac:dyDescent="0.3">
      <c r="A88" t="s">
        <v>101</v>
      </c>
      <c r="B88" t="s">
        <v>11</v>
      </c>
      <c r="C88" t="s">
        <v>104</v>
      </c>
      <c r="D88" t="s">
        <v>2</v>
      </c>
      <c r="E88" t="s">
        <v>0</v>
      </c>
      <c r="F88" t="s">
        <v>41</v>
      </c>
      <c r="G88" t="s">
        <v>37</v>
      </c>
      <c r="H88">
        <v>3</v>
      </c>
      <c r="I88" t="s">
        <v>23</v>
      </c>
      <c r="J88">
        <v>150</v>
      </c>
      <c r="K88">
        <v>280</v>
      </c>
      <c r="L88">
        <v>265</v>
      </c>
      <c r="M88">
        <v>285</v>
      </c>
    </row>
    <row r="89" spans="1:16" x14ac:dyDescent="0.3">
      <c r="A89" t="s">
        <v>1</v>
      </c>
      <c r="B89" t="s">
        <v>106</v>
      </c>
      <c r="C89" t="s">
        <v>107</v>
      </c>
      <c r="D89" t="s">
        <v>2</v>
      </c>
      <c r="E89" t="s">
        <v>0</v>
      </c>
      <c r="F89" t="s">
        <v>41</v>
      </c>
      <c r="G89" t="s">
        <v>37</v>
      </c>
      <c r="H89">
        <v>3</v>
      </c>
      <c r="I89" t="s">
        <v>23</v>
      </c>
      <c r="J89">
        <v>120</v>
      </c>
      <c r="K89">
        <v>310</v>
      </c>
      <c r="L89">
        <v>260</v>
      </c>
      <c r="M89">
        <v>270</v>
      </c>
    </row>
    <row r="90" spans="1:16" x14ac:dyDescent="0.3">
      <c r="A90" t="s">
        <v>105</v>
      </c>
      <c r="B90" t="s">
        <v>108</v>
      </c>
      <c r="C90" t="s">
        <v>107</v>
      </c>
      <c r="D90" t="s">
        <v>2</v>
      </c>
      <c r="E90" t="s">
        <v>0</v>
      </c>
      <c r="F90" t="s">
        <v>41</v>
      </c>
      <c r="G90" t="s">
        <v>37</v>
      </c>
      <c r="H90">
        <v>3</v>
      </c>
      <c r="I90" t="s">
        <v>23</v>
      </c>
      <c r="J90">
        <v>120</v>
      </c>
      <c r="K90">
        <v>310</v>
      </c>
      <c r="L90">
        <v>260</v>
      </c>
      <c r="M90">
        <v>270</v>
      </c>
    </row>
    <row r="91" spans="1:16" x14ac:dyDescent="0.3">
      <c r="A91" t="s">
        <v>1</v>
      </c>
      <c r="B91" t="s">
        <v>106</v>
      </c>
      <c r="C91" t="s">
        <v>109</v>
      </c>
      <c r="D91" t="s">
        <v>2</v>
      </c>
      <c r="E91" t="s">
        <v>0</v>
      </c>
      <c r="F91" t="s">
        <v>41</v>
      </c>
      <c r="G91" t="s">
        <v>37</v>
      </c>
      <c r="H91">
        <v>3</v>
      </c>
      <c r="I91" t="s">
        <v>23</v>
      </c>
      <c r="J91">
        <v>120</v>
      </c>
      <c r="K91">
        <v>310</v>
      </c>
      <c r="L91">
        <v>260</v>
      </c>
      <c r="M91">
        <v>270</v>
      </c>
    </row>
    <row r="92" spans="1:16" x14ac:dyDescent="0.3">
      <c r="A92" t="s">
        <v>1</v>
      </c>
      <c r="B92" t="s">
        <v>110</v>
      </c>
      <c r="C92" t="s">
        <v>41</v>
      </c>
      <c r="D92" t="s">
        <v>2</v>
      </c>
      <c r="E92" t="s">
        <v>0</v>
      </c>
      <c r="F92" t="s">
        <v>41</v>
      </c>
      <c r="G92" t="s">
        <v>37</v>
      </c>
      <c r="H92">
        <v>1</v>
      </c>
      <c r="I92" t="s">
        <v>23</v>
      </c>
      <c r="J92">
        <v>200</v>
      </c>
      <c r="K92">
        <v>310</v>
      </c>
      <c r="L92">
        <v>250</v>
      </c>
      <c r="M92">
        <v>290</v>
      </c>
    </row>
    <row r="93" spans="1:16" x14ac:dyDescent="0.3">
      <c r="A93" t="s">
        <v>59</v>
      </c>
      <c r="B93" t="s">
        <v>11</v>
      </c>
      <c r="C93" t="s">
        <v>11</v>
      </c>
      <c r="D93" t="s">
        <v>2</v>
      </c>
      <c r="E93" t="s">
        <v>20</v>
      </c>
      <c r="F93" t="s">
        <v>41</v>
      </c>
      <c r="G93" t="s">
        <v>37</v>
      </c>
      <c r="H93">
        <v>3</v>
      </c>
      <c r="I93" t="s">
        <v>23</v>
      </c>
      <c r="J93">
        <v>200</v>
      </c>
      <c r="K93">
        <v>300</v>
      </c>
      <c r="L93">
        <v>250</v>
      </c>
      <c r="M93">
        <v>290</v>
      </c>
    </row>
    <row r="94" spans="1:16" x14ac:dyDescent="0.3">
      <c r="A94" t="s">
        <v>89</v>
      </c>
      <c r="B94" t="s">
        <v>11</v>
      </c>
      <c r="C94" t="s">
        <v>102</v>
      </c>
      <c r="D94" t="s">
        <v>2</v>
      </c>
      <c r="E94" t="s">
        <v>20</v>
      </c>
      <c r="F94" t="s">
        <v>41</v>
      </c>
      <c r="G94" t="s">
        <v>37</v>
      </c>
      <c r="H94">
        <v>3</v>
      </c>
      <c r="I94" t="s">
        <v>23</v>
      </c>
      <c r="J94">
        <v>200</v>
      </c>
      <c r="K94">
        <v>300</v>
      </c>
      <c r="L94">
        <v>250</v>
      </c>
      <c r="M94">
        <v>290</v>
      </c>
    </row>
    <row r="95" spans="1:16" x14ac:dyDescent="0.3">
      <c r="A95" t="s">
        <v>56</v>
      </c>
      <c r="B95" t="s">
        <v>11</v>
      </c>
      <c r="C95" t="s">
        <v>103</v>
      </c>
      <c r="D95" t="s">
        <v>2</v>
      </c>
      <c r="E95" t="s">
        <v>20</v>
      </c>
      <c r="F95" t="s">
        <v>41</v>
      </c>
      <c r="G95" t="s">
        <v>37</v>
      </c>
      <c r="H95">
        <v>3</v>
      </c>
      <c r="I95" t="s">
        <v>23</v>
      </c>
      <c r="J95">
        <v>200</v>
      </c>
      <c r="K95">
        <v>300</v>
      </c>
      <c r="L95">
        <v>250</v>
      </c>
      <c r="M95">
        <v>290</v>
      </c>
    </row>
    <row r="96" spans="1:16" x14ac:dyDescent="0.3">
      <c r="A96" t="s">
        <v>101</v>
      </c>
      <c r="B96" t="s">
        <v>11</v>
      </c>
      <c r="C96" t="s">
        <v>104</v>
      </c>
      <c r="D96" t="s">
        <v>2</v>
      </c>
      <c r="E96" t="s">
        <v>20</v>
      </c>
      <c r="F96" t="s">
        <v>41</v>
      </c>
      <c r="G96" t="s">
        <v>37</v>
      </c>
      <c r="H96">
        <v>3</v>
      </c>
      <c r="I96" t="s">
        <v>23</v>
      </c>
      <c r="J96">
        <v>200</v>
      </c>
      <c r="K96">
        <v>300</v>
      </c>
      <c r="L96">
        <v>250</v>
      </c>
      <c r="M96">
        <v>290</v>
      </c>
    </row>
    <row r="97" spans="1:13" x14ac:dyDescent="0.3">
      <c r="A97" t="s">
        <v>1</v>
      </c>
      <c r="B97" t="s">
        <v>106</v>
      </c>
      <c r="C97" t="s">
        <v>107</v>
      </c>
      <c r="D97" t="s">
        <v>2</v>
      </c>
      <c r="E97" t="s">
        <v>20</v>
      </c>
      <c r="F97" t="s">
        <v>41</v>
      </c>
      <c r="G97" t="s">
        <v>37</v>
      </c>
      <c r="H97">
        <v>3</v>
      </c>
      <c r="I97" t="s">
        <v>23</v>
      </c>
      <c r="J97">
        <v>200</v>
      </c>
      <c r="K97">
        <v>300</v>
      </c>
      <c r="L97">
        <v>250</v>
      </c>
      <c r="M97">
        <v>290</v>
      </c>
    </row>
    <row r="98" spans="1:13" x14ac:dyDescent="0.3">
      <c r="A98" t="s">
        <v>105</v>
      </c>
      <c r="B98" t="s">
        <v>108</v>
      </c>
      <c r="C98" t="s">
        <v>107</v>
      </c>
      <c r="D98" t="s">
        <v>2</v>
      </c>
      <c r="E98" t="s">
        <v>20</v>
      </c>
      <c r="F98" t="s">
        <v>41</v>
      </c>
      <c r="G98" t="s">
        <v>37</v>
      </c>
      <c r="H98">
        <v>3</v>
      </c>
      <c r="I98" t="s">
        <v>23</v>
      </c>
      <c r="J98">
        <v>200</v>
      </c>
      <c r="K98">
        <v>300</v>
      </c>
      <c r="L98">
        <v>250</v>
      </c>
      <c r="M98">
        <v>290</v>
      </c>
    </row>
    <row r="99" spans="1:13" x14ac:dyDescent="0.3">
      <c r="A99" t="s">
        <v>1</v>
      </c>
      <c r="B99" t="s">
        <v>106</v>
      </c>
      <c r="C99" t="s">
        <v>109</v>
      </c>
      <c r="D99" t="s">
        <v>2</v>
      </c>
      <c r="E99" t="s">
        <v>20</v>
      </c>
      <c r="F99" t="s">
        <v>41</v>
      </c>
      <c r="G99" t="s">
        <v>37</v>
      </c>
      <c r="H99">
        <v>3</v>
      </c>
      <c r="I99" t="s">
        <v>23</v>
      </c>
      <c r="J99">
        <v>200</v>
      </c>
      <c r="K99">
        <v>300</v>
      </c>
      <c r="L99">
        <v>250</v>
      </c>
      <c r="M99">
        <v>290</v>
      </c>
    </row>
    <row r="100" spans="1:13" x14ac:dyDescent="0.3">
      <c r="A100" t="s">
        <v>89</v>
      </c>
      <c r="B100" t="s">
        <v>111</v>
      </c>
      <c r="C100" t="s">
        <v>112</v>
      </c>
      <c r="D100" t="s">
        <v>2</v>
      </c>
      <c r="E100" t="s">
        <v>20</v>
      </c>
      <c r="F100" t="s">
        <v>41</v>
      </c>
      <c r="G100" t="s">
        <v>37</v>
      </c>
      <c r="H100">
        <v>3</v>
      </c>
      <c r="I100" t="s">
        <v>23</v>
      </c>
      <c r="J100">
        <v>200</v>
      </c>
      <c r="K100">
        <v>300</v>
      </c>
      <c r="L100">
        <v>250</v>
      </c>
      <c r="M100">
        <v>290</v>
      </c>
    </row>
    <row r="101" spans="1:13" x14ac:dyDescent="0.3">
      <c r="A101" t="s">
        <v>89</v>
      </c>
      <c r="B101" t="s">
        <v>106</v>
      </c>
      <c r="C101" t="s">
        <v>113</v>
      </c>
      <c r="D101" t="s">
        <v>2</v>
      </c>
      <c r="E101" t="s">
        <v>20</v>
      </c>
      <c r="F101" t="s">
        <v>41</v>
      </c>
      <c r="G101" t="s">
        <v>37</v>
      </c>
      <c r="H101">
        <v>3</v>
      </c>
      <c r="I101" t="s">
        <v>23</v>
      </c>
      <c r="J101">
        <v>200</v>
      </c>
      <c r="K101">
        <v>300</v>
      </c>
      <c r="L101">
        <v>250</v>
      </c>
      <c r="M101">
        <v>290</v>
      </c>
    </row>
    <row r="102" spans="1:13" x14ac:dyDescent="0.3">
      <c r="A102" t="s">
        <v>74</v>
      </c>
      <c r="B102" t="s">
        <v>114</v>
      </c>
      <c r="C102" t="s">
        <v>109</v>
      </c>
      <c r="D102" t="s">
        <v>2</v>
      </c>
      <c r="E102" t="s">
        <v>33</v>
      </c>
      <c r="F102" t="s">
        <v>79</v>
      </c>
      <c r="G102" t="s">
        <v>37</v>
      </c>
      <c r="H102">
        <v>3</v>
      </c>
      <c r="I102" t="s">
        <v>67</v>
      </c>
      <c r="J102">
        <v>100</v>
      </c>
      <c r="K102">
        <v>250</v>
      </c>
      <c r="L102">
        <v>230</v>
      </c>
      <c r="M102">
        <v>270</v>
      </c>
    </row>
    <row r="103" spans="1:13" x14ac:dyDescent="0.3">
      <c r="A103" t="s">
        <v>74</v>
      </c>
      <c r="B103" t="s">
        <v>114</v>
      </c>
      <c r="C103" t="s">
        <v>109</v>
      </c>
      <c r="D103" t="s">
        <v>2</v>
      </c>
      <c r="E103" t="s">
        <v>21</v>
      </c>
      <c r="F103" t="s">
        <v>42</v>
      </c>
      <c r="G103" t="s">
        <v>37</v>
      </c>
      <c r="H103">
        <v>3</v>
      </c>
      <c r="I103" t="s">
        <v>67</v>
      </c>
      <c r="J103">
        <v>100</v>
      </c>
      <c r="K103">
        <v>250</v>
      </c>
      <c r="L103">
        <v>230</v>
      </c>
      <c r="M103">
        <v>270</v>
      </c>
    </row>
    <row r="104" spans="1:13" x14ac:dyDescent="0.3">
      <c r="A104" t="s">
        <v>1</v>
      </c>
      <c r="B104" t="s">
        <v>70</v>
      </c>
      <c r="C104" t="s">
        <v>41</v>
      </c>
      <c r="D104" t="s">
        <v>2</v>
      </c>
      <c r="E104" t="s">
        <v>33</v>
      </c>
      <c r="F104" t="s">
        <v>79</v>
      </c>
      <c r="G104" t="s">
        <v>37</v>
      </c>
      <c r="H104">
        <v>3</v>
      </c>
      <c r="I104" t="s">
        <v>67</v>
      </c>
      <c r="J104">
        <v>100</v>
      </c>
      <c r="K104">
        <v>320</v>
      </c>
      <c r="L104">
        <v>230</v>
      </c>
      <c r="M104">
        <v>305</v>
      </c>
    </row>
    <row r="105" spans="1:13" x14ac:dyDescent="0.3">
      <c r="A105" t="s">
        <v>71</v>
      </c>
      <c r="B105" t="s">
        <v>70</v>
      </c>
      <c r="C105" t="s">
        <v>115</v>
      </c>
      <c r="D105" t="s">
        <v>2</v>
      </c>
      <c r="E105" t="s">
        <v>33</v>
      </c>
      <c r="F105" t="s">
        <v>79</v>
      </c>
      <c r="G105" t="s">
        <v>37</v>
      </c>
      <c r="H105">
        <v>3</v>
      </c>
      <c r="I105" t="s">
        <v>67</v>
      </c>
      <c r="J105">
        <v>50</v>
      </c>
      <c r="K105">
        <v>330</v>
      </c>
      <c r="L105">
        <v>200</v>
      </c>
      <c r="M105">
        <v>300</v>
      </c>
    </row>
    <row r="106" spans="1:13" x14ac:dyDescent="0.3">
      <c r="A106" t="s">
        <v>1</v>
      </c>
      <c r="B106" t="s">
        <v>70</v>
      </c>
      <c r="C106" t="s">
        <v>41</v>
      </c>
      <c r="D106" t="s">
        <v>2</v>
      </c>
      <c r="E106" t="s">
        <v>21</v>
      </c>
      <c r="F106" t="s">
        <v>42</v>
      </c>
      <c r="G106" t="s">
        <v>37</v>
      </c>
      <c r="H106">
        <v>3</v>
      </c>
      <c r="I106" t="s">
        <v>67</v>
      </c>
      <c r="J106">
        <v>100</v>
      </c>
      <c r="K106">
        <v>320</v>
      </c>
      <c r="L106">
        <v>230</v>
      </c>
      <c r="M106">
        <v>305</v>
      </c>
    </row>
    <row r="107" spans="1:13" x14ac:dyDescent="0.3">
      <c r="A107" t="s">
        <v>71</v>
      </c>
      <c r="B107" t="s">
        <v>70</v>
      </c>
      <c r="C107" t="s">
        <v>115</v>
      </c>
      <c r="D107" t="s">
        <v>2</v>
      </c>
      <c r="E107" t="s">
        <v>21</v>
      </c>
      <c r="F107" t="s">
        <v>42</v>
      </c>
      <c r="G107" t="s">
        <v>37</v>
      </c>
      <c r="H107">
        <v>3</v>
      </c>
      <c r="I107" t="s">
        <v>67</v>
      </c>
      <c r="J107">
        <v>50</v>
      </c>
      <c r="K107">
        <v>330</v>
      </c>
      <c r="L107">
        <v>200</v>
      </c>
      <c r="M107">
        <v>300</v>
      </c>
    </row>
    <row r="108" spans="1:13" x14ac:dyDescent="0.3">
      <c r="A108" t="s">
        <v>1</v>
      </c>
      <c r="B108" t="s">
        <v>70</v>
      </c>
      <c r="C108" t="s">
        <v>41</v>
      </c>
      <c r="D108" t="s">
        <v>2</v>
      </c>
      <c r="E108" t="s">
        <v>33</v>
      </c>
      <c r="F108" t="s">
        <v>79</v>
      </c>
      <c r="G108" t="s">
        <v>37</v>
      </c>
      <c r="H108">
        <v>3</v>
      </c>
      <c r="I108" t="s">
        <v>127</v>
      </c>
      <c r="J108">
        <v>100</v>
      </c>
      <c r="K108">
        <v>350</v>
      </c>
      <c r="L108">
        <v>200</v>
      </c>
      <c r="M108">
        <v>275</v>
      </c>
    </row>
    <row r="109" spans="1:13" x14ac:dyDescent="0.3">
      <c r="A109" t="s">
        <v>1</v>
      </c>
      <c r="B109" t="s">
        <v>70</v>
      </c>
      <c r="C109" t="s">
        <v>41</v>
      </c>
      <c r="D109" t="s">
        <v>2</v>
      </c>
      <c r="E109" t="s">
        <v>21</v>
      </c>
      <c r="F109" t="s">
        <v>42</v>
      </c>
      <c r="G109" t="s">
        <v>37</v>
      </c>
      <c r="H109">
        <v>3</v>
      </c>
      <c r="I109" t="s">
        <v>127</v>
      </c>
      <c r="J109">
        <v>100</v>
      </c>
      <c r="K109">
        <v>350</v>
      </c>
      <c r="L109">
        <v>200</v>
      </c>
      <c r="M109">
        <v>275</v>
      </c>
    </row>
    <row r="110" spans="1:13" x14ac:dyDescent="0.3">
      <c r="A110" t="s">
        <v>73</v>
      </c>
      <c r="B110" t="s">
        <v>117</v>
      </c>
      <c r="C110" t="s">
        <v>44</v>
      </c>
      <c r="D110" t="s">
        <v>2</v>
      </c>
      <c r="E110" t="s">
        <v>33</v>
      </c>
      <c r="F110" t="s">
        <v>79</v>
      </c>
      <c r="G110" t="s">
        <v>37</v>
      </c>
      <c r="H110">
        <v>3</v>
      </c>
      <c r="I110" t="s">
        <v>67</v>
      </c>
      <c r="J110">
        <v>50</v>
      </c>
      <c r="K110">
        <v>350</v>
      </c>
      <c r="L110">
        <v>185</v>
      </c>
      <c r="M110">
        <v>250</v>
      </c>
    </row>
    <row r="111" spans="1:13" x14ac:dyDescent="0.3">
      <c r="A111" t="s">
        <v>116</v>
      </c>
      <c r="B111" t="s">
        <v>117</v>
      </c>
      <c r="C111" t="s">
        <v>44</v>
      </c>
      <c r="D111" t="s">
        <v>2</v>
      </c>
      <c r="E111" t="s">
        <v>33</v>
      </c>
      <c r="F111" t="s">
        <v>79</v>
      </c>
      <c r="G111" t="s">
        <v>37</v>
      </c>
      <c r="H111">
        <v>3</v>
      </c>
      <c r="I111" t="s">
        <v>67</v>
      </c>
      <c r="J111">
        <v>50</v>
      </c>
      <c r="K111">
        <v>250</v>
      </c>
      <c r="L111">
        <v>185</v>
      </c>
      <c r="M111">
        <v>250</v>
      </c>
    </row>
    <row r="112" spans="1:13" x14ac:dyDescent="0.3">
      <c r="A112" t="s">
        <v>73</v>
      </c>
      <c r="B112" t="s">
        <v>117</v>
      </c>
      <c r="C112" t="s">
        <v>44</v>
      </c>
      <c r="D112" t="s">
        <v>2</v>
      </c>
      <c r="E112" t="s">
        <v>21</v>
      </c>
      <c r="F112" t="s">
        <v>42</v>
      </c>
      <c r="G112" t="s">
        <v>37</v>
      </c>
      <c r="H112">
        <v>3</v>
      </c>
      <c r="I112" t="s">
        <v>67</v>
      </c>
      <c r="J112">
        <v>50</v>
      </c>
      <c r="K112">
        <v>350</v>
      </c>
      <c r="L112">
        <v>185</v>
      </c>
      <c r="M112">
        <v>250</v>
      </c>
    </row>
    <row r="113" spans="1:16" x14ac:dyDescent="0.3">
      <c r="A113" t="s">
        <v>116</v>
      </c>
      <c r="B113" t="s">
        <v>117</v>
      </c>
      <c r="C113" t="s">
        <v>44</v>
      </c>
      <c r="D113" t="s">
        <v>2</v>
      </c>
      <c r="E113" t="s">
        <v>21</v>
      </c>
      <c r="F113" t="s">
        <v>42</v>
      </c>
      <c r="G113" t="s">
        <v>37</v>
      </c>
      <c r="H113">
        <v>3</v>
      </c>
      <c r="I113" t="s">
        <v>67</v>
      </c>
      <c r="J113">
        <v>50</v>
      </c>
      <c r="K113">
        <v>250</v>
      </c>
      <c r="L113">
        <v>185</v>
      </c>
      <c r="M113">
        <v>250</v>
      </c>
    </row>
    <row r="114" spans="1:16" x14ac:dyDescent="0.3">
      <c r="A114" t="s">
        <v>59</v>
      </c>
      <c r="B114" t="s">
        <v>11</v>
      </c>
      <c r="C114" t="s">
        <v>11</v>
      </c>
      <c r="D114" t="s">
        <v>2</v>
      </c>
      <c r="E114" t="s">
        <v>21</v>
      </c>
      <c r="F114" t="s">
        <v>42</v>
      </c>
      <c r="G114" t="s">
        <v>37</v>
      </c>
      <c r="H114">
        <v>3</v>
      </c>
      <c r="I114" t="s">
        <v>67</v>
      </c>
      <c r="J114">
        <v>15</v>
      </c>
      <c r="K114">
        <v>350</v>
      </c>
      <c r="L114">
        <v>250</v>
      </c>
      <c r="M114">
        <v>300</v>
      </c>
      <c r="P114" t="s">
        <v>122</v>
      </c>
    </row>
    <row r="115" spans="1:16" x14ac:dyDescent="0.3">
      <c r="A115" t="s">
        <v>89</v>
      </c>
      <c r="B115" t="s">
        <v>11</v>
      </c>
      <c r="C115" t="s">
        <v>102</v>
      </c>
      <c r="D115" t="s">
        <v>2</v>
      </c>
      <c r="E115" t="s">
        <v>21</v>
      </c>
      <c r="F115" t="s">
        <v>42</v>
      </c>
      <c r="G115" t="s">
        <v>37</v>
      </c>
      <c r="H115">
        <v>3</v>
      </c>
      <c r="I115" t="s">
        <v>67</v>
      </c>
      <c r="J115">
        <v>15</v>
      </c>
      <c r="K115">
        <v>350</v>
      </c>
      <c r="L115">
        <v>250</v>
      </c>
      <c r="M115">
        <v>300</v>
      </c>
      <c r="P115" t="s">
        <v>122</v>
      </c>
    </row>
    <row r="116" spans="1:16" x14ac:dyDescent="0.3">
      <c r="A116" t="s">
        <v>56</v>
      </c>
      <c r="B116" t="s">
        <v>11</v>
      </c>
      <c r="C116" t="s">
        <v>103</v>
      </c>
      <c r="D116" t="s">
        <v>2</v>
      </c>
      <c r="E116" t="s">
        <v>21</v>
      </c>
      <c r="F116" t="s">
        <v>42</v>
      </c>
      <c r="G116" t="s">
        <v>37</v>
      </c>
      <c r="H116">
        <v>3</v>
      </c>
      <c r="I116" t="s">
        <v>67</v>
      </c>
      <c r="J116">
        <v>15</v>
      </c>
      <c r="K116">
        <v>350</v>
      </c>
      <c r="L116">
        <v>250</v>
      </c>
      <c r="M116">
        <v>300</v>
      </c>
      <c r="P116" t="s">
        <v>122</v>
      </c>
    </row>
    <row r="117" spans="1:16" x14ac:dyDescent="0.3">
      <c r="A117" t="s">
        <v>101</v>
      </c>
      <c r="B117" t="s">
        <v>11</v>
      </c>
      <c r="C117" t="s">
        <v>104</v>
      </c>
      <c r="D117" t="s">
        <v>2</v>
      </c>
      <c r="E117" t="s">
        <v>21</v>
      </c>
      <c r="F117" t="s">
        <v>42</v>
      </c>
      <c r="G117" t="s">
        <v>37</v>
      </c>
      <c r="H117">
        <v>3</v>
      </c>
      <c r="I117" t="s">
        <v>67</v>
      </c>
      <c r="J117">
        <v>15</v>
      </c>
      <c r="K117">
        <v>350</v>
      </c>
      <c r="L117">
        <v>250</v>
      </c>
      <c r="M117">
        <v>300</v>
      </c>
      <c r="P117" t="s">
        <v>122</v>
      </c>
    </row>
    <row r="118" spans="1:16" x14ac:dyDescent="0.3">
      <c r="A118" t="s">
        <v>86</v>
      </c>
      <c r="B118" t="s">
        <v>11</v>
      </c>
      <c r="C118" t="s">
        <v>118</v>
      </c>
      <c r="D118" t="s">
        <v>2</v>
      </c>
      <c r="E118" t="s">
        <v>21</v>
      </c>
      <c r="F118" t="s">
        <v>42</v>
      </c>
      <c r="G118" t="s">
        <v>37</v>
      </c>
      <c r="H118">
        <v>3</v>
      </c>
      <c r="I118" t="s">
        <v>67</v>
      </c>
      <c r="J118">
        <v>15</v>
      </c>
      <c r="K118">
        <v>350</v>
      </c>
      <c r="L118">
        <v>250</v>
      </c>
      <c r="M118">
        <v>300</v>
      </c>
      <c r="P118" t="s">
        <v>122</v>
      </c>
    </row>
    <row r="119" spans="1:16" x14ac:dyDescent="0.3">
      <c r="A119" t="s">
        <v>59</v>
      </c>
      <c r="B119" t="s">
        <v>11</v>
      </c>
      <c r="C119" t="s">
        <v>11</v>
      </c>
      <c r="D119" t="s">
        <v>2</v>
      </c>
      <c r="E119" t="s">
        <v>33</v>
      </c>
      <c r="F119" t="s">
        <v>79</v>
      </c>
      <c r="G119" t="s">
        <v>37</v>
      </c>
      <c r="H119">
        <v>3</v>
      </c>
      <c r="I119" t="s">
        <v>67</v>
      </c>
      <c r="J119">
        <v>15</v>
      </c>
      <c r="K119">
        <v>350</v>
      </c>
      <c r="L119">
        <v>250</v>
      </c>
      <c r="M119">
        <v>300</v>
      </c>
      <c r="P119" t="s">
        <v>122</v>
      </c>
    </row>
    <row r="120" spans="1:16" x14ac:dyDescent="0.3">
      <c r="A120" t="s">
        <v>89</v>
      </c>
      <c r="B120" t="s">
        <v>11</v>
      </c>
      <c r="C120" t="s">
        <v>102</v>
      </c>
      <c r="D120" t="s">
        <v>2</v>
      </c>
      <c r="E120" t="s">
        <v>33</v>
      </c>
      <c r="F120" t="s">
        <v>79</v>
      </c>
      <c r="G120" t="s">
        <v>37</v>
      </c>
      <c r="H120">
        <v>3</v>
      </c>
      <c r="I120" t="s">
        <v>67</v>
      </c>
      <c r="J120">
        <v>15</v>
      </c>
      <c r="K120">
        <v>350</v>
      </c>
      <c r="L120">
        <v>250</v>
      </c>
      <c r="M120">
        <v>300</v>
      </c>
      <c r="P120" t="s">
        <v>122</v>
      </c>
    </row>
    <row r="121" spans="1:16" x14ac:dyDescent="0.3">
      <c r="A121" t="s">
        <v>56</v>
      </c>
      <c r="B121" t="s">
        <v>11</v>
      </c>
      <c r="C121" t="s">
        <v>103</v>
      </c>
      <c r="D121" t="s">
        <v>2</v>
      </c>
      <c r="E121" t="s">
        <v>33</v>
      </c>
      <c r="F121" t="s">
        <v>79</v>
      </c>
      <c r="G121" t="s">
        <v>37</v>
      </c>
      <c r="H121">
        <v>3</v>
      </c>
      <c r="I121" t="s">
        <v>67</v>
      </c>
      <c r="J121">
        <v>15</v>
      </c>
      <c r="K121">
        <v>350</v>
      </c>
      <c r="L121">
        <v>250</v>
      </c>
      <c r="M121">
        <v>300</v>
      </c>
      <c r="P121" t="s">
        <v>122</v>
      </c>
    </row>
    <row r="122" spans="1:16" x14ac:dyDescent="0.3">
      <c r="A122" t="s">
        <v>101</v>
      </c>
      <c r="B122" t="s">
        <v>11</v>
      </c>
      <c r="C122" t="s">
        <v>104</v>
      </c>
      <c r="D122" t="s">
        <v>2</v>
      </c>
      <c r="E122" t="s">
        <v>33</v>
      </c>
      <c r="F122" t="s">
        <v>79</v>
      </c>
      <c r="G122" t="s">
        <v>37</v>
      </c>
      <c r="H122">
        <v>3</v>
      </c>
      <c r="I122" t="s">
        <v>67</v>
      </c>
      <c r="J122">
        <v>15</v>
      </c>
      <c r="K122">
        <v>350</v>
      </c>
      <c r="L122">
        <v>250</v>
      </c>
      <c r="M122">
        <v>300</v>
      </c>
      <c r="P122" t="s">
        <v>122</v>
      </c>
    </row>
    <row r="123" spans="1:16" x14ac:dyDescent="0.3">
      <c r="A123" t="s">
        <v>86</v>
      </c>
      <c r="B123" t="s">
        <v>11</v>
      </c>
      <c r="C123" t="s">
        <v>118</v>
      </c>
      <c r="D123" t="s">
        <v>2</v>
      </c>
      <c r="E123" t="s">
        <v>33</v>
      </c>
      <c r="F123" t="s">
        <v>79</v>
      </c>
      <c r="G123" t="s">
        <v>37</v>
      </c>
      <c r="H123">
        <v>3</v>
      </c>
      <c r="I123" t="s">
        <v>67</v>
      </c>
      <c r="J123">
        <v>15</v>
      </c>
      <c r="K123">
        <v>350</v>
      </c>
      <c r="L123">
        <v>250</v>
      </c>
      <c r="M123">
        <v>300</v>
      </c>
      <c r="P123" t="s">
        <v>122</v>
      </c>
    </row>
    <row r="124" spans="1:16" x14ac:dyDescent="0.3">
      <c r="A124" t="s">
        <v>1</v>
      </c>
      <c r="B124" t="s">
        <v>106</v>
      </c>
      <c r="C124" t="s">
        <v>107</v>
      </c>
      <c r="D124" t="s">
        <v>2</v>
      </c>
      <c r="E124" t="s">
        <v>33</v>
      </c>
      <c r="F124" t="s">
        <v>79</v>
      </c>
      <c r="G124" t="s">
        <v>37</v>
      </c>
      <c r="H124">
        <v>3</v>
      </c>
      <c r="I124" t="s">
        <v>127</v>
      </c>
      <c r="J124">
        <v>100</v>
      </c>
      <c r="K124">
        <v>285</v>
      </c>
      <c r="L124">
        <v>200</v>
      </c>
      <c r="M124">
        <v>275</v>
      </c>
    </row>
    <row r="125" spans="1:16" x14ac:dyDescent="0.3">
      <c r="A125" t="s">
        <v>105</v>
      </c>
      <c r="B125" t="s">
        <v>108</v>
      </c>
      <c r="C125" t="s">
        <v>107</v>
      </c>
      <c r="D125" t="s">
        <v>2</v>
      </c>
      <c r="E125" t="s">
        <v>33</v>
      </c>
      <c r="F125" t="s">
        <v>79</v>
      </c>
      <c r="G125" t="s">
        <v>37</v>
      </c>
      <c r="H125">
        <v>3</v>
      </c>
      <c r="I125" t="s">
        <v>127</v>
      </c>
      <c r="J125">
        <v>50</v>
      </c>
      <c r="K125">
        <v>350</v>
      </c>
      <c r="L125">
        <v>200</v>
      </c>
      <c r="M125">
        <v>275</v>
      </c>
    </row>
    <row r="126" spans="1:16" x14ac:dyDescent="0.3">
      <c r="A126" t="s">
        <v>1</v>
      </c>
      <c r="B126" t="s">
        <v>106</v>
      </c>
      <c r="C126" t="s">
        <v>109</v>
      </c>
      <c r="D126" t="s">
        <v>2</v>
      </c>
      <c r="E126" t="s">
        <v>33</v>
      </c>
      <c r="F126" t="s">
        <v>79</v>
      </c>
      <c r="G126" t="s">
        <v>37</v>
      </c>
      <c r="H126">
        <v>3</v>
      </c>
      <c r="I126" t="s">
        <v>127</v>
      </c>
      <c r="J126">
        <v>100</v>
      </c>
      <c r="K126">
        <v>285</v>
      </c>
      <c r="L126">
        <v>200</v>
      </c>
      <c r="M126">
        <v>275</v>
      </c>
    </row>
    <row r="127" spans="1:16" x14ac:dyDescent="0.3">
      <c r="A127" t="s">
        <v>89</v>
      </c>
      <c r="B127" t="s">
        <v>111</v>
      </c>
      <c r="C127" t="s">
        <v>112</v>
      </c>
      <c r="D127" t="s">
        <v>2</v>
      </c>
      <c r="E127" t="s">
        <v>33</v>
      </c>
      <c r="F127" t="s">
        <v>79</v>
      </c>
      <c r="G127" t="s">
        <v>37</v>
      </c>
      <c r="H127">
        <v>3</v>
      </c>
      <c r="I127" t="s">
        <v>127</v>
      </c>
      <c r="J127">
        <v>100</v>
      </c>
      <c r="K127">
        <v>285</v>
      </c>
      <c r="L127">
        <v>200</v>
      </c>
      <c r="M127">
        <v>275</v>
      </c>
    </row>
    <row r="128" spans="1:16" x14ac:dyDescent="0.3">
      <c r="A128" t="s">
        <v>89</v>
      </c>
      <c r="B128" t="s">
        <v>106</v>
      </c>
      <c r="C128" t="s">
        <v>113</v>
      </c>
      <c r="D128" t="s">
        <v>2</v>
      </c>
      <c r="E128" t="s">
        <v>33</v>
      </c>
      <c r="F128" t="s">
        <v>79</v>
      </c>
      <c r="G128" t="s">
        <v>37</v>
      </c>
      <c r="H128">
        <v>3</v>
      </c>
      <c r="I128" t="s">
        <v>23</v>
      </c>
      <c r="J128">
        <v>100</v>
      </c>
      <c r="K128">
        <v>285</v>
      </c>
      <c r="L128">
        <v>200</v>
      </c>
      <c r="M128">
        <v>275</v>
      </c>
    </row>
    <row r="129" spans="1:16" x14ac:dyDescent="0.3">
      <c r="A129" t="s">
        <v>1</v>
      </c>
      <c r="B129" t="s">
        <v>106</v>
      </c>
      <c r="C129" t="s">
        <v>107</v>
      </c>
      <c r="D129" t="s">
        <v>2</v>
      </c>
      <c r="E129" t="s">
        <v>33</v>
      </c>
      <c r="F129" t="s">
        <v>79</v>
      </c>
      <c r="G129" t="s">
        <v>37</v>
      </c>
      <c r="H129">
        <v>3</v>
      </c>
      <c r="I129" t="s">
        <v>67</v>
      </c>
      <c r="J129">
        <v>100</v>
      </c>
      <c r="K129">
        <v>350</v>
      </c>
      <c r="L129">
        <v>220</v>
      </c>
      <c r="M129">
        <v>300</v>
      </c>
    </row>
    <row r="130" spans="1:16" x14ac:dyDescent="0.3">
      <c r="A130" t="s">
        <v>105</v>
      </c>
      <c r="B130" t="s">
        <v>108</v>
      </c>
      <c r="C130" t="s">
        <v>107</v>
      </c>
      <c r="D130" t="s">
        <v>2</v>
      </c>
      <c r="E130" t="s">
        <v>33</v>
      </c>
      <c r="F130" t="s">
        <v>79</v>
      </c>
      <c r="G130" t="s">
        <v>37</v>
      </c>
      <c r="H130">
        <v>3</v>
      </c>
      <c r="I130" t="s">
        <v>67</v>
      </c>
      <c r="J130">
        <v>50</v>
      </c>
      <c r="K130">
        <v>350</v>
      </c>
      <c r="L130">
        <v>220</v>
      </c>
      <c r="M130">
        <v>270</v>
      </c>
    </row>
    <row r="131" spans="1:16" x14ac:dyDescent="0.3">
      <c r="A131" t="s">
        <v>1</v>
      </c>
      <c r="B131" t="s">
        <v>106</v>
      </c>
      <c r="C131" t="s">
        <v>109</v>
      </c>
      <c r="D131" t="s">
        <v>2</v>
      </c>
      <c r="E131" t="s">
        <v>33</v>
      </c>
      <c r="F131" t="s">
        <v>79</v>
      </c>
      <c r="G131" t="s">
        <v>37</v>
      </c>
      <c r="H131">
        <v>3</v>
      </c>
      <c r="I131" t="s">
        <v>67</v>
      </c>
      <c r="J131">
        <v>100</v>
      </c>
      <c r="K131">
        <v>350</v>
      </c>
      <c r="L131">
        <v>220</v>
      </c>
      <c r="M131">
        <v>300</v>
      </c>
    </row>
    <row r="132" spans="1:16" x14ac:dyDescent="0.3">
      <c r="A132" t="s">
        <v>89</v>
      </c>
      <c r="B132" t="s">
        <v>111</v>
      </c>
      <c r="C132" t="s">
        <v>112</v>
      </c>
      <c r="D132" t="s">
        <v>2</v>
      </c>
      <c r="E132" t="s">
        <v>33</v>
      </c>
      <c r="F132" t="s">
        <v>79</v>
      </c>
      <c r="G132" t="s">
        <v>37</v>
      </c>
      <c r="H132">
        <v>3</v>
      </c>
      <c r="I132" t="s">
        <v>67</v>
      </c>
      <c r="J132">
        <v>100</v>
      </c>
      <c r="K132">
        <v>285</v>
      </c>
      <c r="L132">
        <v>200</v>
      </c>
      <c r="M132">
        <v>275</v>
      </c>
    </row>
    <row r="133" spans="1:16" x14ac:dyDescent="0.3">
      <c r="A133" t="s">
        <v>1</v>
      </c>
      <c r="B133" t="s">
        <v>106</v>
      </c>
      <c r="C133" t="s">
        <v>107</v>
      </c>
      <c r="D133" t="s">
        <v>2</v>
      </c>
      <c r="E133" t="s">
        <v>21</v>
      </c>
      <c r="F133" t="s">
        <v>42</v>
      </c>
      <c r="G133" t="s">
        <v>37</v>
      </c>
      <c r="H133">
        <v>3</v>
      </c>
      <c r="I133" t="s">
        <v>127</v>
      </c>
      <c r="J133">
        <v>100</v>
      </c>
      <c r="K133">
        <v>285</v>
      </c>
      <c r="L133">
        <v>200</v>
      </c>
      <c r="M133">
        <v>275</v>
      </c>
    </row>
    <row r="134" spans="1:16" x14ac:dyDescent="0.3">
      <c r="A134" t="s">
        <v>105</v>
      </c>
      <c r="B134" t="s">
        <v>108</v>
      </c>
      <c r="C134" t="s">
        <v>107</v>
      </c>
      <c r="D134" t="s">
        <v>2</v>
      </c>
      <c r="E134" t="s">
        <v>21</v>
      </c>
      <c r="F134" t="s">
        <v>42</v>
      </c>
      <c r="G134" t="s">
        <v>37</v>
      </c>
      <c r="H134">
        <v>3</v>
      </c>
      <c r="I134" t="s">
        <v>127</v>
      </c>
      <c r="J134">
        <v>50</v>
      </c>
      <c r="K134">
        <v>350</v>
      </c>
      <c r="L134">
        <v>200</v>
      </c>
      <c r="M134">
        <v>275</v>
      </c>
    </row>
    <row r="135" spans="1:16" x14ac:dyDescent="0.3">
      <c r="A135" t="s">
        <v>1</v>
      </c>
      <c r="B135" t="s">
        <v>106</v>
      </c>
      <c r="C135" t="s">
        <v>109</v>
      </c>
      <c r="D135" t="s">
        <v>2</v>
      </c>
      <c r="E135" t="s">
        <v>21</v>
      </c>
      <c r="F135" t="s">
        <v>42</v>
      </c>
      <c r="G135" t="s">
        <v>37</v>
      </c>
      <c r="H135">
        <v>3</v>
      </c>
      <c r="I135" t="s">
        <v>127</v>
      </c>
      <c r="J135">
        <v>100</v>
      </c>
      <c r="K135">
        <v>285</v>
      </c>
      <c r="L135">
        <v>200</v>
      </c>
      <c r="M135">
        <v>275</v>
      </c>
    </row>
    <row r="136" spans="1:16" x14ac:dyDescent="0.3">
      <c r="A136" t="s">
        <v>89</v>
      </c>
      <c r="B136" t="s">
        <v>111</v>
      </c>
      <c r="C136" t="s">
        <v>112</v>
      </c>
      <c r="D136" t="s">
        <v>2</v>
      </c>
      <c r="E136" t="s">
        <v>21</v>
      </c>
      <c r="F136" t="s">
        <v>42</v>
      </c>
      <c r="G136" t="s">
        <v>37</v>
      </c>
      <c r="H136">
        <v>3</v>
      </c>
      <c r="I136" t="s">
        <v>127</v>
      </c>
      <c r="J136">
        <v>100</v>
      </c>
      <c r="K136">
        <v>285</v>
      </c>
      <c r="L136">
        <v>200</v>
      </c>
      <c r="M136">
        <v>275</v>
      </c>
    </row>
    <row r="137" spans="1:16" x14ac:dyDescent="0.3">
      <c r="A137" t="s">
        <v>89</v>
      </c>
      <c r="B137" t="s">
        <v>106</v>
      </c>
      <c r="C137" t="s">
        <v>113</v>
      </c>
      <c r="D137" t="s">
        <v>2</v>
      </c>
      <c r="E137" t="s">
        <v>21</v>
      </c>
      <c r="F137" t="s">
        <v>42</v>
      </c>
      <c r="G137" t="s">
        <v>37</v>
      </c>
      <c r="H137">
        <v>3</v>
      </c>
      <c r="I137" t="s">
        <v>127</v>
      </c>
      <c r="J137">
        <v>100</v>
      </c>
      <c r="K137">
        <v>285</v>
      </c>
      <c r="L137">
        <v>200</v>
      </c>
      <c r="M137">
        <v>275</v>
      </c>
    </row>
    <row r="138" spans="1:16" x14ac:dyDescent="0.3">
      <c r="A138" t="s">
        <v>1</v>
      </c>
      <c r="B138" t="s">
        <v>106</v>
      </c>
      <c r="C138" t="s">
        <v>107</v>
      </c>
      <c r="D138" t="s">
        <v>2</v>
      </c>
      <c r="E138" t="s">
        <v>21</v>
      </c>
      <c r="F138" t="s">
        <v>42</v>
      </c>
      <c r="G138" t="s">
        <v>37</v>
      </c>
      <c r="H138">
        <v>3</v>
      </c>
      <c r="I138" t="s">
        <v>67</v>
      </c>
      <c r="J138">
        <v>100</v>
      </c>
      <c r="K138">
        <v>350</v>
      </c>
      <c r="L138">
        <v>220</v>
      </c>
      <c r="M138">
        <v>300</v>
      </c>
    </row>
    <row r="139" spans="1:16" x14ac:dyDescent="0.3">
      <c r="A139" t="s">
        <v>105</v>
      </c>
      <c r="B139" t="s">
        <v>108</v>
      </c>
      <c r="C139" t="s">
        <v>107</v>
      </c>
      <c r="D139" t="s">
        <v>2</v>
      </c>
      <c r="E139" t="s">
        <v>21</v>
      </c>
      <c r="F139" t="s">
        <v>42</v>
      </c>
      <c r="G139" t="s">
        <v>37</v>
      </c>
      <c r="H139">
        <v>3</v>
      </c>
      <c r="I139" t="s">
        <v>67</v>
      </c>
      <c r="J139">
        <v>50</v>
      </c>
      <c r="K139">
        <v>350</v>
      </c>
      <c r="L139">
        <v>220</v>
      </c>
      <c r="M139">
        <v>270</v>
      </c>
    </row>
    <row r="140" spans="1:16" x14ac:dyDescent="0.3">
      <c r="A140" t="s">
        <v>1</v>
      </c>
      <c r="B140" t="s">
        <v>106</v>
      </c>
      <c r="C140" t="s">
        <v>109</v>
      </c>
      <c r="D140" t="s">
        <v>2</v>
      </c>
      <c r="E140" t="s">
        <v>21</v>
      </c>
      <c r="F140" t="s">
        <v>42</v>
      </c>
      <c r="G140" t="s">
        <v>37</v>
      </c>
      <c r="H140">
        <v>3</v>
      </c>
      <c r="I140" t="s">
        <v>67</v>
      </c>
      <c r="J140">
        <v>100</v>
      </c>
      <c r="K140">
        <v>350</v>
      </c>
      <c r="L140">
        <v>220</v>
      </c>
      <c r="M140">
        <v>300</v>
      </c>
    </row>
    <row r="141" spans="1:16" x14ac:dyDescent="0.3">
      <c r="A141" t="s">
        <v>89</v>
      </c>
      <c r="B141" t="s">
        <v>111</v>
      </c>
      <c r="C141" t="s">
        <v>112</v>
      </c>
      <c r="D141" t="s">
        <v>2</v>
      </c>
      <c r="E141" t="s">
        <v>21</v>
      </c>
      <c r="F141" t="s">
        <v>42</v>
      </c>
      <c r="G141" t="s">
        <v>37</v>
      </c>
      <c r="H141">
        <v>3</v>
      </c>
      <c r="I141" t="s">
        <v>67</v>
      </c>
      <c r="J141">
        <v>100</v>
      </c>
      <c r="K141">
        <v>285</v>
      </c>
      <c r="L141">
        <v>200</v>
      </c>
      <c r="M141">
        <v>275</v>
      </c>
    </row>
    <row r="142" spans="1:16" x14ac:dyDescent="0.3">
      <c r="A142" t="s">
        <v>1</v>
      </c>
      <c r="B142" t="s">
        <v>110</v>
      </c>
      <c r="C142" t="s">
        <v>41</v>
      </c>
      <c r="D142" t="s">
        <v>2</v>
      </c>
      <c r="E142" t="s">
        <v>33</v>
      </c>
      <c r="F142" t="s">
        <v>79</v>
      </c>
      <c r="G142" t="s">
        <v>37</v>
      </c>
      <c r="H142">
        <v>3</v>
      </c>
      <c r="I142" t="s">
        <v>127</v>
      </c>
      <c r="J142">
        <v>50</v>
      </c>
      <c r="K142">
        <v>350</v>
      </c>
      <c r="L142">
        <v>180</v>
      </c>
      <c r="M142">
        <v>300</v>
      </c>
      <c r="P142" t="s">
        <v>123</v>
      </c>
    </row>
    <row r="143" spans="1:16" x14ac:dyDescent="0.3">
      <c r="A143" t="s">
        <v>1</v>
      </c>
      <c r="B143" t="s">
        <v>110</v>
      </c>
      <c r="C143" t="s">
        <v>41</v>
      </c>
      <c r="D143" t="s">
        <v>2</v>
      </c>
      <c r="E143" t="s">
        <v>21</v>
      </c>
      <c r="F143" t="s">
        <v>42</v>
      </c>
      <c r="G143" t="s">
        <v>37</v>
      </c>
      <c r="H143">
        <v>3</v>
      </c>
      <c r="I143" t="s">
        <v>127</v>
      </c>
      <c r="J143">
        <v>50</v>
      </c>
      <c r="K143">
        <v>350</v>
      </c>
      <c r="L143">
        <v>180</v>
      </c>
      <c r="M143">
        <v>300</v>
      </c>
      <c r="P143" t="s">
        <v>123</v>
      </c>
    </row>
    <row r="144" spans="1:16" x14ac:dyDescent="0.3">
      <c r="A144" t="s">
        <v>1</v>
      </c>
      <c r="B144" t="s">
        <v>110</v>
      </c>
      <c r="C144" t="s">
        <v>41</v>
      </c>
      <c r="D144" t="s">
        <v>2</v>
      </c>
      <c r="E144" t="s">
        <v>33</v>
      </c>
      <c r="F144" t="s">
        <v>79</v>
      </c>
      <c r="G144" t="s">
        <v>37</v>
      </c>
      <c r="H144">
        <v>3</v>
      </c>
      <c r="I144" t="s">
        <v>67</v>
      </c>
      <c r="J144">
        <v>50</v>
      </c>
      <c r="K144">
        <v>350</v>
      </c>
      <c r="L144">
        <v>200</v>
      </c>
      <c r="M144">
        <v>300</v>
      </c>
      <c r="P144" t="s">
        <v>124</v>
      </c>
    </row>
    <row r="145" spans="1:16" x14ac:dyDescent="0.3">
      <c r="A145" t="s">
        <v>1</v>
      </c>
      <c r="B145" t="s">
        <v>110</v>
      </c>
      <c r="C145" t="s">
        <v>41</v>
      </c>
      <c r="D145" t="s">
        <v>2</v>
      </c>
      <c r="E145" t="s">
        <v>21</v>
      </c>
      <c r="F145" t="s">
        <v>42</v>
      </c>
      <c r="G145" t="s">
        <v>37</v>
      </c>
      <c r="H145">
        <v>3</v>
      </c>
      <c r="I145" t="s">
        <v>67</v>
      </c>
      <c r="J145">
        <v>50</v>
      </c>
      <c r="K145">
        <v>350</v>
      </c>
      <c r="L145">
        <v>200</v>
      </c>
      <c r="M145">
        <v>300</v>
      </c>
      <c r="P145" t="s">
        <v>124</v>
      </c>
    </row>
    <row r="146" spans="1:16" x14ac:dyDescent="0.3">
      <c r="A146" t="s">
        <v>119</v>
      </c>
      <c r="B146" t="s">
        <v>120</v>
      </c>
      <c r="C146" t="s">
        <v>41</v>
      </c>
      <c r="D146" t="s">
        <v>2</v>
      </c>
      <c r="E146" t="s">
        <v>33</v>
      </c>
      <c r="F146" t="s">
        <v>79</v>
      </c>
      <c r="G146" t="s">
        <v>37</v>
      </c>
      <c r="H146">
        <v>3</v>
      </c>
      <c r="I146" t="s">
        <v>23</v>
      </c>
      <c r="J146">
        <v>50</v>
      </c>
      <c r="K146">
        <v>300</v>
      </c>
      <c r="L146">
        <v>200</v>
      </c>
      <c r="M146">
        <v>325</v>
      </c>
      <c r="P146" t="s">
        <v>125</v>
      </c>
    </row>
    <row r="147" spans="1:16" x14ac:dyDescent="0.3">
      <c r="A147" t="s">
        <v>119</v>
      </c>
      <c r="B147" t="s">
        <v>120</v>
      </c>
      <c r="C147" t="s">
        <v>41</v>
      </c>
      <c r="D147" t="s">
        <v>2</v>
      </c>
      <c r="E147" t="s">
        <v>21</v>
      </c>
      <c r="F147" t="s">
        <v>42</v>
      </c>
      <c r="G147" t="s">
        <v>37</v>
      </c>
      <c r="H147">
        <v>3</v>
      </c>
      <c r="I147" t="s">
        <v>23</v>
      </c>
      <c r="J147">
        <v>50</v>
      </c>
      <c r="K147">
        <v>300</v>
      </c>
      <c r="L147">
        <v>200</v>
      </c>
      <c r="M147">
        <v>325</v>
      </c>
      <c r="P147" t="s">
        <v>125</v>
      </c>
    </row>
    <row r="148" spans="1:16" x14ac:dyDescent="0.3">
      <c r="A148" t="s">
        <v>116</v>
      </c>
      <c r="B148" t="s">
        <v>121</v>
      </c>
      <c r="C148" t="s">
        <v>41</v>
      </c>
      <c r="D148" t="s">
        <v>2</v>
      </c>
      <c r="E148" t="s">
        <v>33</v>
      </c>
      <c r="F148" t="s">
        <v>79</v>
      </c>
      <c r="G148" t="s">
        <v>37</v>
      </c>
      <c r="H148">
        <v>3</v>
      </c>
      <c r="I148" t="s">
        <v>127</v>
      </c>
      <c r="J148">
        <v>150</v>
      </c>
      <c r="K148">
        <v>350</v>
      </c>
      <c r="L148">
        <v>225</v>
      </c>
      <c r="M148">
        <v>300</v>
      </c>
      <c r="O148">
        <v>4005</v>
      </c>
    </row>
    <row r="149" spans="1:16" x14ac:dyDescent="0.3">
      <c r="A149" t="s">
        <v>116</v>
      </c>
      <c r="B149" t="s">
        <v>121</v>
      </c>
      <c r="C149" t="s">
        <v>41</v>
      </c>
      <c r="D149" t="s">
        <v>2</v>
      </c>
      <c r="E149" t="s">
        <v>21</v>
      </c>
      <c r="F149" t="s">
        <v>42</v>
      </c>
      <c r="G149" t="s">
        <v>37</v>
      </c>
      <c r="H149">
        <v>3</v>
      </c>
      <c r="I149" t="s">
        <v>127</v>
      </c>
      <c r="J149">
        <v>150</v>
      </c>
      <c r="K149">
        <v>350</v>
      </c>
      <c r="L149">
        <v>225</v>
      </c>
      <c r="M149">
        <v>300</v>
      </c>
      <c r="O149">
        <v>4005</v>
      </c>
    </row>
    <row r="150" spans="1:16" x14ac:dyDescent="0.3">
      <c r="A150" t="s">
        <v>116</v>
      </c>
      <c r="B150" t="s">
        <v>121</v>
      </c>
      <c r="C150" t="s">
        <v>41</v>
      </c>
      <c r="D150" t="s">
        <v>2</v>
      </c>
      <c r="E150" t="s">
        <v>33</v>
      </c>
      <c r="F150" t="s">
        <v>79</v>
      </c>
      <c r="G150" t="s">
        <v>37</v>
      </c>
      <c r="H150">
        <v>3</v>
      </c>
      <c r="I150" t="s">
        <v>67</v>
      </c>
      <c r="J150">
        <v>150</v>
      </c>
      <c r="K150">
        <v>350</v>
      </c>
      <c r="L150">
        <v>225</v>
      </c>
      <c r="M150">
        <v>300</v>
      </c>
      <c r="O150">
        <v>2670</v>
      </c>
    </row>
    <row r="151" spans="1:16" x14ac:dyDescent="0.3">
      <c r="A151" t="s">
        <v>116</v>
      </c>
      <c r="B151" t="s">
        <v>121</v>
      </c>
      <c r="C151" t="s">
        <v>41</v>
      </c>
      <c r="D151" t="s">
        <v>2</v>
      </c>
      <c r="E151" t="s">
        <v>21</v>
      </c>
      <c r="F151" t="s">
        <v>42</v>
      </c>
      <c r="G151" t="s">
        <v>37</v>
      </c>
      <c r="H151">
        <v>3</v>
      </c>
      <c r="I151" t="s">
        <v>67</v>
      </c>
      <c r="J151">
        <v>150</v>
      </c>
      <c r="K151">
        <v>350</v>
      </c>
      <c r="L151">
        <v>225</v>
      </c>
      <c r="M151">
        <v>300</v>
      </c>
      <c r="O151">
        <v>2670</v>
      </c>
    </row>
    <row r="152" spans="1:16" x14ac:dyDescent="0.3">
      <c r="A152" t="s">
        <v>1</v>
      </c>
      <c r="B152" t="s">
        <v>70</v>
      </c>
      <c r="C152" t="s">
        <v>41</v>
      </c>
      <c r="D152" t="s">
        <v>2</v>
      </c>
      <c r="E152" t="s">
        <v>22</v>
      </c>
      <c r="F152" t="s">
        <v>41</v>
      </c>
      <c r="G152" t="s">
        <v>37</v>
      </c>
      <c r="H152">
        <v>3</v>
      </c>
      <c r="I152" t="s">
        <v>23</v>
      </c>
      <c r="J152">
        <v>100</v>
      </c>
      <c r="K152">
        <v>300</v>
      </c>
      <c r="L152">
        <v>230</v>
      </c>
      <c r="M152">
        <v>350</v>
      </c>
    </row>
    <row r="153" spans="1:16" x14ac:dyDescent="0.3">
      <c r="A153" t="s">
        <v>71</v>
      </c>
      <c r="B153" t="s">
        <v>72</v>
      </c>
      <c r="C153" t="s">
        <v>23</v>
      </c>
      <c r="D153" t="s">
        <v>2</v>
      </c>
      <c r="E153" t="s">
        <v>22</v>
      </c>
      <c r="F153" t="s">
        <v>41</v>
      </c>
      <c r="G153" t="s">
        <v>37</v>
      </c>
      <c r="H153">
        <v>3</v>
      </c>
      <c r="I153" t="s">
        <v>23</v>
      </c>
      <c r="J153">
        <v>100</v>
      </c>
      <c r="K153">
        <v>300</v>
      </c>
      <c r="L153">
        <v>230</v>
      </c>
      <c r="M153">
        <v>350</v>
      </c>
    </row>
    <row r="154" spans="1:16" x14ac:dyDescent="0.3">
      <c r="A154" t="s">
        <v>59</v>
      </c>
      <c r="B154" t="s">
        <v>11</v>
      </c>
      <c r="C154" t="s">
        <v>11</v>
      </c>
      <c r="D154" t="s">
        <v>2</v>
      </c>
      <c r="E154" t="s">
        <v>22</v>
      </c>
      <c r="F154" t="s">
        <v>41</v>
      </c>
      <c r="G154" t="s">
        <v>37</v>
      </c>
      <c r="H154">
        <v>3</v>
      </c>
      <c r="I154" t="s">
        <v>23</v>
      </c>
      <c r="J154">
        <v>80</v>
      </c>
      <c r="K154">
        <v>350</v>
      </c>
      <c r="L154">
        <v>265</v>
      </c>
      <c r="M154">
        <v>325</v>
      </c>
    </row>
    <row r="155" spans="1:16" x14ac:dyDescent="0.3">
      <c r="A155" t="s">
        <v>89</v>
      </c>
      <c r="B155" t="s">
        <v>11</v>
      </c>
      <c r="C155" t="s">
        <v>102</v>
      </c>
      <c r="D155" t="s">
        <v>2</v>
      </c>
      <c r="E155" t="s">
        <v>22</v>
      </c>
      <c r="F155" t="s">
        <v>41</v>
      </c>
      <c r="G155" t="s">
        <v>37</v>
      </c>
      <c r="H155">
        <v>3</v>
      </c>
      <c r="I155" t="s">
        <v>23</v>
      </c>
      <c r="J155">
        <v>80</v>
      </c>
      <c r="K155">
        <v>350</v>
      </c>
      <c r="L155">
        <v>265</v>
      </c>
      <c r="M155">
        <v>325</v>
      </c>
    </row>
    <row r="156" spans="1:16" x14ac:dyDescent="0.3">
      <c r="A156" t="s">
        <v>56</v>
      </c>
      <c r="B156" t="s">
        <v>11</v>
      </c>
      <c r="C156" t="s">
        <v>103</v>
      </c>
      <c r="D156" t="s">
        <v>2</v>
      </c>
      <c r="E156" t="s">
        <v>22</v>
      </c>
      <c r="F156" t="s">
        <v>41</v>
      </c>
      <c r="G156" t="s">
        <v>37</v>
      </c>
      <c r="H156">
        <v>3</v>
      </c>
      <c r="I156" t="s">
        <v>23</v>
      </c>
      <c r="J156">
        <v>80</v>
      </c>
      <c r="K156">
        <v>350</v>
      </c>
      <c r="L156">
        <v>265</v>
      </c>
      <c r="M156">
        <v>325</v>
      </c>
    </row>
    <row r="157" spans="1:16" x14ac:dyDescent="0.3">
      <c r="A157" t="s">
        <v>101</v>
      </c>
      <c r="B157" t="s">
        <v>11</v>
      </c>
      <c r="C157" t="s">
        <v>104</v>
      </c>
      <c r="D157" t="s">
        <v>2</v>
      </c>
      <c r="E157" t="s">
        <v>22</v>
      </c>
      <c r="F157" t="s">
        <v>41</v>
      </c>
      <c r="G157" t="s">
        <v>37</v>
      </c>
      <c r="H157">
        <v>3</v>
      </c>
      <c r="I157" t="s">
        <v>23</v>
      </c>
      <c r="J157">
        <v>80</v>
      </c>
      <c r="K157">
        <v>350</v>
      </c>
      <c r="L157">
        <v>265</v>
      </c>
      <c r="M157">
        <v>325</v>
      </c>
    </row>
    <row r="158" spans="1:16" x14ac:dyDescent="0.3">
      <c r="A158" t="s">
        <v>1</v>
      </c>
      <c r="B158" t="s">
        <v>106</v>
      </c>
      <c r="C158" t="s">
        <v>107</v>
      </c>
      <c r="D158" t="s">
        <v>2</v>
      </c>
      <c r="E158" t="s">
        <v>22</v>
      </c>
      <c r="F158" t="s">
        <v>41</v>
      </c>
      <c r="G158" t="s">
        <v>37</v>
      </c>
      <c r="H158">
        <v>3</v>
      </c>
      <c r="I158" t="s">
        <v>23</v>
      </c>
      <c r="J158">
        <v>100</v>
      </c>
      <c r="K158">
        <v>300</v>
      </c>
      <c r="L158">
        <v>230</v>
      </c>
      <c r="M158">
        <v>350</v>
      </c>
    </row>
    <row r="159" spans="1:16" x14ac:dyDescent="0.3">
      <c r="A159" t="s">
        <v>105</v>
      </c>
      <c r="B159" t="s">
        <v>108</v>
      </c>
      <c r="C159" t="s">
        <v>107</v>
      </c>
      <c r="D159" t="s">
        <v>2</v>
      </c>
      <c r="E159" t="s">
        <v>22</v>
      </c>
      <c r="F159" t="s">
        <v>41</v>
      </c>
      <c r="G159" t="s">
        <v>37</v>
      </c>
      <c r="H159">
        <v>3</v>
      </c>
      <c r="I159" t="s">
        <v>23</v>
      </c>
      <c r="J159">
        <v>100</v>
      </c>
      <c r="K159">
        <v>300</v>
      </c>
      <c r="L159">
        <v>230</v>
      </c>
      <c r="M159">
        <v>350</v>
      </c>
    </row>
    <row r="160" spans="1:16" x14ac:dyDescent="0.3">
      <c r="A160" t="s">
        <v>1</v>
      </c>
      <c r="B160" t="s">
        <v>106</v>
      </c>
      <c r="C160" t="s">
        <v>109</v>
      </c>
      <c r="D160" t="s">
        <v>2</v>
      </c>
      <c r="E160" t="s">
        <v>22</v>
      </c>
      <c r="F160" t="s">
        <v>41</v>
      </c>
      <c r="G160" t="s">
        <v>37</v>
      </c>
      <c r="H160">
        <v>3</v>
      </c>
      <c r="I160" t="s">
        <v>23</v>
      </c>
      <c r="J160">
        <v>100</v>
      </c>
      <c r="K160">
        <v>300</v>
      </c>
      <c r="L160">
        <v>230</v>
      </c>
      <c r="M160">
        <v>350</v>
      </c>
    </row>
    <row r="161" spans="1:13" x14ac:dyDescent="0.3">
      <c r="A161" t="s">
        <v>89</v>
      </c>
      <c r="B161" t="s">
        <v>106</v>
      </c>
      <c r="C161" t="s">
        <v>113</v>
      </c>
      <c r="D161" t="s">
        <v>2</v>
      </c>
      <c r="E161" t="s">
        <v>22</v>
      </c>
      <c r="F161" t="s">
        <v>41</v>
      </c>
      <c r="G161" t="s">
        <v>37</v>
      </c>
      <c r="H161">
        <v>3</v>
      </c>
      <c r="I161" t="s">
        <v>23</v>
      </c>
      <c r="J161">
        <v>80</v>
      </c>
      <c r="K161">
        <v>350</v>
      </c>
      <c r="L161">
        <v>265</v>
      </c>
      <c r="M161">
        <v>325</v>
      </c>
    </row>
    <row r="162" spans="1:13" x14ac:dyDescent="0.3">
      <c r="A162" t="s">
        <v>1</v>
      </c>
      <c r="B162" t="s">
        <v>110</v>
      </c>
      <c r="C162" t="s">
        <v>41</v>
      </c>
      <c r="D162" t="s">
        <v>2</v>
      </c>
      <c r="E162" t="s">
        <v>22</v>
      </c>
      <c r="F162" t="s">
        <v>41</v>
      </c>
      <c r="G162" t="s">
        <v>37</v>
      </c>
      <c r="H162">
        <v>2</v>
      </c>
      <c r="I162" t="s">
        <v>23</v>
      </c>
      <c r="J162">
        <v>100</v>
      </c>
      <c r="K162">
        <v>350</v>
      </c>
      <c r="L162">
        <v>265</v>
      </c>
      <c r="M162">
        <v>325</v>
      </c>
    </row>
    <row r="163" spans="1:13" x14ac:dyDescent="0.3">
      <c r="A163" t="s">
        <v>39</v>
      </c>
      <c r="B163" t="s">
        <v>110</v>
      </c>
      <c r="C163" t="s">
        <v>41</v>
      </c>
      <c r="D163" t="s">
        <v>2</v>
      </c>
      <c r="E163" t="s">
        <v>22</v>
      </c>
      <c r="F163" t="s">
        <v>41</v>
      </c>
      <c r="G163" t="s">
        <v>37</v>
      </c>
      <c r="H163">
        <v>2</v>
      </c>
      <c r="I163" t="s">
        <v>23</v>
      </c>
      <c r="J163">
        <v>100</v>
      </c>
      <c r="K163">
        <v>350</v>
      </c>
      <c r="L163">
        <v>265</v>
      </c>
      <c r="M163">
        <v>325</v>
      </c>
    </row>
    <row r="164" spans="1:13" x14ac:dyDescent="0.3">
      <c r="A164" t="s">
        <v>116</v>
      </c>
      <c r="B164" t="s">
        <v>121</v>
      </c>
      <c r="C164" t="s">
        <v>41</v>
      </c>
      <c r="D164" t="s">
        <v>2</v>
      </c>
      <c r="E164" t="s">
        <v>22</v>
      </c>
      <c r="F164" t="s">
        <v>41</v>
      </c>
      <c r="G164" t="s">
        <v>37</v>
      </c>
      <c r="H164">
        <v>3</v>
      </c>
      <c r="I164" t="s">
        <v>23</v>
      </c>
      <c r="J164">
        <v>100</v>
      </c>
      <c r="K164">
        <v>300</v>
      </c>
      <c r="L164">
        <v>265</v>
      </c>
      <c r="M164">
        <v>325</v>
      </c>
    </row>
    <row r="165" spans="1:13" x14ac:dyDescent="0.3">
      <c r="A165" t="s">
        <v>39</v>
      </c>
      <c r="B165" t="s">
        <v>121</v>
      </c>
      <c r="C165" t="s">
        <v>44</v>
      </c>
      <c r="D165" t="s">
        <v>2</v>
      </c>
      <c r="E165" t="s">
        <v>22</v>
      </c>
      <c r="F165" t="s">
        <v>41</v>
      </c>
      <c r="G165" t="s">
        <v>37</v>
      </c>
      <c r="H165">
        <v>3</v>
      </c>
      <c r="I165" t="s">
        <v>23</v>
      </c>
      <c r="J165">
        <v>100</v>
      </c>
      <c r="K165">
        <v>300</v>
      </c>
      <c r="L165">
        <v>265</v>
      </c>
      <c r="M165">
        <v>325</v>
      </c>
    </row>
    <row r="166" spans="1:13" x14ac:dyDescent="0.3">
      <c r="A166" t="s">
        <v>59</v>
      </c>
      <c r="B166" t="s">
        <v>11</v>
      </c>
      <c r="C166" t="s">
        <v>11</v>
      </c>
      <c r="D166" t="s">
        <v>2</v>
      </c>
      <c r="E166" t="s">
        <v>11</v>
      </c>
      <c r="F166" t="s">
        <v>12</v>
      </c>
      <c r="G166" t="s">
        <v>37</v>
      </c>
      <c r="H166">
        <v>3</v>
      </c>
      <c r="I166" t="s">
        <v>23</v>
      </c>
      <c r="J166">
        <v>150</v>
      </c>
      <c r="K166">
        <v>300</v>
      </c>
      <c r="L166">
        <v>250</v>
      </c>
      <c r="M166">
        <v>290</v>
      </c>
    </row>
    <row r="167" spans="1:13" x14ac:dyDescent="0.3">
      <c r="A167" t="s">
        <v>89</v>
      </c>
      <c r="B167" t="s">
        <v>11</v>
      </c>
      <c r="C167" t="s">
        <v>102</v>
      </c>
      <c r="D167" t="s">
        <v>2</v>
      </c>
      <c r="E167" t="s">
        <v>11</v>
      </c>
      <c r="F167" t="s">
        <v>12</v>
      </c>
      <c r="G167" t="s">
        <v>37</v>
      </c>
      <c r="H167">
        <v>3</v>
      </c>
      <c r="I167" t="s">
        <v>23</v>
      </c>
      <c r="J167">
        <v>150</v>
      </c>
      <c r="K167">
        <v>300</v>
      </c>
      <c r="L167">
        <v>250</v>
      </c>
      <c r="M167">
        <v>290</v>
      </c>
    </row>
    <row r="168" spans="1:13" x14ac:dyDescent="0.3">
      <c r="A168" t="s">
        <v>56</v>
      </c>
      <c r="B168" t="s">
        <v>11</v>
      </c>
      <c r="C168" t="s">
        <v>103</v>
      </c>
      <c r="D168" t="s">
        <v>2</v>
      </c>
      <c r="E168" t="s">
        <v>11</v>
      </c>
      <c r="F168" t="s">
        <v>12</v>
      </c>
      <c r="G168" t="s">
        <v>37</v>
      </c>
      <c r="H168">
        <v>3</v>
      </c>
      <c r="I168" t="s">
        <v>23</v>
      </c>
      <c r="J168">
        <v>150</v>
      </c>
      <c r="K168">
        <v>300</v>
      </c>
      <c r="L168">
        <v>250</v>
      </c>
      <c r="M168">
        <v>290</v>
      </c>
    </row>
    <row r="169" spans="1:13" x14ac:dyDescent="0.3">
      <c r="A169" t="s">
        <v>101</v>
      </c>
      <c r="B169" t="s">
        <v>11</v>
      </c>
      <c r="C169" t="s">
        <v>104</v>
      </c>
      <c r="D169" t="s">
        <v>2</v>
      </c>
      <c r="E169" t="s">
        <v>11</v>
      </c>
      <c r="F169" t="s">
        <v>12</v>
      </c>
      <c r="G169" t="s">
        <v>37</v>
      </c>
      <c r="H169">
        <v>3</v>
      </c>
      <c r="I169" t="s">
        <v>23</v>
      </c>
      <c r="J169">
        <v>150</v>
      </c>
      <c r="K169">
        <v>300</v>
      </c>
      <c r="L169">
        <v>250</v>
      </c>
      <c r="M169">
        <v>290</v>
      </c>
    </row>
    <row r="170" spans="1:13" x14ac:dyDescent="0.3">
      <c r="A170" t="s">
        <v>59</v>
      </c>
      <c r="B170" t="s">
        <v>11</v>
      </c>
      <c r="C170" t="s">
        <v>11</v>
      </c>
      <c r="D170" t="s">
        <v>2</v>
      </c>
      <c r="E170" t="s">
        <v>35</v>
      </c>
      <c r="F170" t="s">
        <v>41</v>
      </c>
      <c r="G170" t="s">
        <v>37</v>
      </c>
      <c r="H170">
        <v>3</v>
      </c>
      <c r="I170" t="s">
        <v>23</v>
      </c>
      <c r="J170">
        <v>80</v>
      </c>
      <c r="K170">
        <v>280</v>
      </c>
      <c r="L170">
        <v>250</v>
      </c>
      <c r="M170">
        <v>300</v>
      </c>
    </row>
    <row r="171" spans="1:13" x14ac:dyDescent="0.3">
      <c r="A171" t="s">
        <v>89</v>
      </c>
      <c r="B171" t="s">
        <v>11</v>
      </c>
      <c r="C171" t="s">
        <v>102</v>
      </c>
      <c r="D171" t="s">
        <v>2</v>
      </c>
      <c r="E171" t="s">
        <v>35</v>
      </c>
      <c r="F171" t="s">
        <v>41</v>
      </c>
      <c r="G171" t="s">
        <v>37</v>
      </c>
      <c r="H171">
        <v>3</v>
      </c>
      <c r="I171" t="s">
        <v>23</v>
      </c>
      <c r="J171">
        <v>80</v>
      </c>
      <c r="K171">
        <v>280</v>
      </c>
      <c r="L171">
        <v>250</v>
      </c>
      <c r="M171">
        <v>300</v>
      </c>
    </row>
    <row r="172" spans="1:13" x14ac:dyDescent="0.3">
      <c r="A172" t="s">
        <v>56</v>
      </c>
      <c r="B172" t="s">
        <v>11</v>
      </c>
      <c r="C172" t="s">
        <v>103</v>
      </c>
      <c r="D172" t="s">
        <v>2</v>
      </c>
      <c r="E172" t="s">
        <v>35</v>
      </c>
      <c r="F172" t="s">
        <v>41</v>
      </c>
      <c r="G172" t="s">
        <v>37</v>
      </c>
      <c r="H172">
        <v>3</v>
      </c>
      <c r="I172" t="s">
        <v>23</v>
      </c>
      <c r="J172">
        <v>80</v>
      </c>
      <c r="K172">
        <v>280</v>
      </c>
      <c r="L172">
        <v>250</v>
      </c>
      <c r="M172">
        <v>300</v>
      </c>
    </row>
    <row r="173" spans="1:13" x14ac:dyDescent="0.3">
      <c r="A173" t="s">
        <v>101</v>
      </c>
      <c r="B173" t="s">
        <v>11</v>
      </c>
      <c r="C173" t="s">
        <v>104</v>
      </c>
      <c r="D173" t="s">
        <v>2</v>
      </c>
      <c r="E173" t="s">
        <v>35</v>
      </c>
      <c r="F173" t="s">
        <v>41</v>
      </c>
      <c r="G173" t="s">
        <v>37</v>
      </c>
      <c r="H173">
        <v>3</v>
      </c>
      <c r="I173" t="s">
        <v>23</v>
      </c>
      <c r="J173">
        <v>80</v>
      </c>
      <c r="K173">
        <v>280</v>
      </c>
      <c r="L173">
        <v>250</v>
      </c>
      <c r="M173">
        <v>300</v>
      </c>
    </row>
    <row r="174" spans="1:13" x14ac:dyDescent="0.3">
      <c r="A174" t="s">
        <v>1</v>
      </c>
      <c r="B174" t="s">
        <v>106</v>
      </c>
      <c r="C174" t="s">
        <v>107</v>
      </c>
      <c r="D174" t="s">
        <v>2</v>
      </c>
      <c r="E174" t="s">
        <v>35</v>
      </c>
      <c r="F174" t="s">
        <v>41</v>
      </c>
      <c r="G174" t="s">
        <v>37</v>
      </c>
      <c r="H174">
        <v>3</v>
      </c>
      <c r="I174" t="s">
        <v>23</v>
      </c>
      <c r="J174">
        <v>80</v>
      </c>
      <c r="K174">
        <v>280</v>
      </c>
      <c r="L174">
        <v>250</v>
      </c>
      <c r="M174">
        <v>300</v>
      </c>
    </row>
    <row r="175" spans="1:13" x14ac:dyDescent="0.3">
      <c r="A175" t="s">
        <v>105</v>
      </c>
      <c r="B175" t="s">
        <v>108</v>
      </c>
      <c r="C175" t="s">
        <v>107</v>
      </c>
      <c r="D175" t="s">
        <v>2</v>
      </c>
      <c r="E175" t="s">
        <v>35</v>
      </c>
      <c r="F175" t="s">
        <v>41</v>
      </c>
      <c r="G175" t="s">
        <v>37</v>
      </c>
      <c r="H175">
        <v>3</v>
      </c>
      <c r="I175" t="s">
        <v>23</v>
      </c>
      <c r="J175">
        <v>80</v>
      </c>
      <c r="K175">
        <v>280</v>
      </c>
      <c r="L175">
        <v>250</v>
      </c>
      <c r="M175">
        <v>300</v>
      </c>
    </row>
    <row r="176" spans="1:13" x14ac:dyDescent="0.3">
      <c r="A176" t="s">
        <v>1</v>
      </c>
      <c r="B176" t="s">
        <v>106</v>
      </c>
      <c r="C176" t="s">
        <v>109</v>
      </c>
      <c r="D176" t="s">
        <v>2</v>
      </c>
      <c r="E176" t="s">
        <v>35</v>
      </c>
      <c r="F176" t="s">
        <v>41</v>
      </c>
      <c r="G176" t="s">
        <v>37</v>
      </c>
      <c r="H176">
        <v>3</v>
      </c>
      <c r="I176" t="s">
        <v>23</v>
      </c>
      <c r="J176">
        <v>80</v>
      </c>
      <c r="K176">
        <v>280</v>
      </c>
      <c r="L176">
        <v>250</v>
      </c>
      <c r="M176">
        <v>300</v>
      </c>
    </row>
    <row r="177" spans="1:13" x14ac:dyDescent="0.3">
      <c r="A177" t="s">
        <v>89</v>
      </c>
      <c r="B177" t="s">
        <v>111</v>
      </c>
      <c r="C177" t="s">
        <v>112</v>
      </c>
      <c r="D177" t="s">
        <v>2</v>
      </c>
      <c r="E177" t="s">
        <v>35</v>
      </c>
      <c r="F177" t="s">
        <v>41</v>
      </c>
      <c r="G177" t="s">
        <v>37</v>
      </c>
      <c r="H177">
        <v>3</v>
      </c>
      <c r="I177" t="s">
        <v>23</v>
      </c>
      <c r="J177">
        <v>80</v>
      </c>
      <c r="K177">
        <v>280</v>
      </c>
      <c r="L177">
        <v>250</v>
      </c>
      <c r="M177">
        <v>300</v>
      </c>
    </row>
    <row r="178" spans="1:13" x14ac:dyDescent="0.3">
      <c r="A178" t="s">
        <v>89</v>
      </c>
      <c r="B178" t="s">
        <v>106</v>
      </c>
      <c r="C178" t="s">
        <v>113</v>
      </c>
      <c r="D178" t="s">
        <v>2</v>
      </c>
      <c r="E178" t="s">
        <v>35</v>
      </c>
      <c r="F178" t="s">
        <v>41</v>
      </c>
      <c r="G178" t="s">
        <v>37</v>
      </c>
      <c r="H178">
        <v>3</v>
      </c>
      <c r="I178" t="s">
        <v>23</v>
      </c>
      <c r="J178">
        <v>80</v>
      </c>
      <c r="K178">
        <v>280</v>
      </c>
      <c r="L178">
        <v>250</v>
      </c>
      <c r="M178">
        <v>300</v>
      </c>
    </row>
  </sheetData>
  <phoneticPr fontId="4" type="noConversion"/>
  <conditionalFormatting sqref="A2:F567 I2:I567">
    <cfRule type="expression" dxfId="5" priority="1">
      <formula>COUNTIFS($A:$A,$A2,$B:$B,$B2,$C:$C,$C2,$D:$D,$D2,$E:$E,$E2,$F:$F,$F2,$I:$I,$I2)&gt;1</formula>
    </cfRule>
  </conditionalFormatting>
  <conditionalFormatting sqref="A46:F49 D50:F51 A50:C63 A2:M45 G46:M51 D52:M58 A59:M770 O2:P770">
    <cfRule type="containsText" dxfId="4" priority="92" operator="containsText" text="itv">
      <formula>NOT(ISERROR(SEARCH("itv",A2)))</formula>
    </cfRule>
  </conditionalFormatting>
  <conditionalFormatting sqref="A30:M45 G46:M58 D52:M58 A59:M246 D2:M12 D14:M29 I13:M13 O2:O246">
    <cfRule type="containsBlanks" dxfId="3" priority="15">
      <formula>LEN(TRIM(A2))=0</formula>
    </cfRule>
  </conditionalFormatting>
  <conditionalFormatting sqref="B2:B34 A46:F49 D50:F51 A50:C63">
    <cfRule type="containsBlanks" dxfId="2" priority="93">
      <formula>LEN(TRIM(A2))=0</formula>
    </cfRule>
  </conditionalFormatting>
  <conditionalFormatting sqref="B46">
    <cfRule type="containsBlanks" dxfId="1" priority="91">
      <formula>LEN(TRIM(B46))=0</formula>
    </cfRule>
  </conditionalFormatting>
  <conditionalFormatting sqref="A2:B29 D13:G13">
    <cfRule type="containsBlanks" dxfId="0" priority="106">
      <formula>LEN(TRIM(A2))=0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F3C11-D3C9-4ADE-86F6-B2FF68AF80BB}">
  <dimension ref="A1:P78"/>
  <sheetViews>
    <sheetView zoomScale="66" workbookViewId="0">
      <selection activeCell="L23" sqref="L23"/>
    </sheetView>
  </sheetViews>
  <sheetFormatPr defaultRowHeight="14.4" x14ac:dyDescent="0.3"/>
  <cols>
    <col min="1" max="1" width="16.44140625" bestFit="1" customWidth="1"/>
  </cols>
  <sheetData>
    <row r="1" spans="1:16" ht="18" x14ac:dyDescent="0.35">
      <c r="A1" s="2" t="str" cm="1">
        <f t="array" ref="A1:P1">Specifications!A1:P1</f>
        <v>tanker_nation</v>
      </c>
      <c r="B1" s="2" t="str">
        <v>tanker_type</v>
      </c>
      <c r="C1" s="2" t="str">
        <v>tanker_model</v>
      </c>
      <c r="D1" s="2" t="str">
        <v>receiver_nation</v>
      </c>
      <c r="E1" s="2" t="str">
        <v>receiver_type</v>
      </c>
      <c r="F1" s="2" t="str">
        <v>receiver_model</v>
      </c>
      <c r="G1" s="2" t="str">
        <v>c_tanker</v>
      </c>
      <c r="H1" s="2" t="str">
        <v>c_receiver</v>
      </c>
      <c r="I1" s="2" t="str">
        <v>boom_pod_BDA</v>
      </c>
      <c r="J1" s="2" t="str">
        <v>min_alt</v>
      </c>
      <c r="K1" s="2" t="str">
        <v>max_alt</v>
      </c>
      <c r="L1" s="2" t="str">
        <v>min_as</v>
      </c>
      <c r="M1" s="2" t="str">
        <v>max_as</v>
      </c>
      <c r="N1" s="2" t="str">
        <v>max_mach</v>
      </c>
      <c r="O1" s="2" t="str">
        <v>fuel_flow_rate</v>
      </c>
      <c r="P1" s="1" t="str">
        <v>notes</v>
      </c>
    </row>
    <row r="2" spans="1:16" x14ac:dyDescent="0.3">
      <c r="A2" t="str" cm="1">
        <f t="array" ref="A2:O78">_xlfn.SORTBY(
    _xlfn._xlws.FILTER(Specifications!B:P, Specifications!A:A="Australia", ""),
    _xlfn._xlws.FILTER(Specifications!B:B, Specifications!A:A="Australia"), 1,
    _xlfn._xlws.FILTER(Specifications!D:D, Specifications!A:A="Australia"), 1
)</f>
        <v>A330 MRTT</v>
      </c>
      <c r="B2" t="str">
        <v>KC-30A</v>
      </c>
      <c r="C2" t="str">
        <v>Australia</v>
      </c>
      <c r="D2" t="str">
        <v>C-17</v>
      </c>
      <c r="E2" t="str">
        <v>A</v>
      </c>
      <c r="F2">
        <v>3</v>
      </c>
      <c r="G2">
        <v>3</v>
      </c>
      <c r="H2" t="str">
        <v>B</v>
      </c>
      <c r="I2">
        <v>150</v>
      </c>
      <c r="J2">
        <v>280</v>
      </c>
      <c r="K2">
        <v>265</v>
      </c>
      <c r="L2">
        <v>285</v>
      </c>
      <c r="M2">
        <v>0</v>
      </c>
      <c r="N2">
        <v>7936.6319999999996</v>
      </c>
      <c r="O2">
        <v>0</v>
      </c>
    </row>
    <row r="3" spans="1:16" x14ac:dyDescent="0.3">
      <c r="A3" t="str">
        <v>A330 MRTT</v>
      </c>
      <c r="B3" t="str">
        <v>KC-30A</v>
      </c>
      <c r="C3" t="str">
        <v>Australia</v>
      </c>
      <c r="D3" t="str">
        <v>E-7</v>
      </c>
      <c r="E3" t="str">
        <v>A</v>
      </c>
      <c r="F3">
        <v>3</v>
      </c>
      <c r="G3">
        <v>3</v>
      </c>
      <c r="H3" t="str">
        <v>B</v>
      </c>
      <c r="I3">
        <v>200</v>
      </c>
      <c r="J3">
        <v>300</v>
      </c>
      <c r="K3">
        <v>250</v>
      </c>
      <c r="L3">
        <v>290</v>
      </c>
      <c r="M3">
        <v>0</v>
      </c>
      <c r="N3">
        <v>4188.7779999999993</v>
      </c>
      <c r="O3">
        <v>0</v>
      </c>
    </row>
    <row r="4" spans="1:16" x14ac:dyDescent="0.3">
      <c r="A4" t="str">
        <v>A330 MRTT</v>
      </c>
      <c r="B4" t="str">
        <v>KC-30A</v>
      </c>
      <c r="C4" t="str">
        <v>Australia</v>
      </c>
      <c r="D4" t="str">
        <v>EA-18</v>
      </c>
      <c r="E4" t="str">
        <v>G</v>
      </c>
      <c r="F4">
        <v>3</v>
      </c>
      <c r="G4">
        <v>3</v>
      </c>
      <c r="H4" t="str">
        <v>P</v>
      </c>
      <c r="I4">
        <v>15</v>
      </c>
      <c r="J4">
        <v>350</v>
      </c>
      <c r="K4">
        <v>250</v>
      </c>
      <c r="L4">
        <v>300</v>
      </c>
      <c r="M4">
        <v>0</v>
      </c>
      <c r="N4">
        <v>2645.5439999999999</v>
      </c>
      <c r="O4" t="str">
        <v>mininimum altitude orginially given in 1500 feet</v>
      </c>
    </row>
    <row r="5" spans="1:16" x14ac:dyDescent="0.3">
      <c r="A5" t="str">
        <v>A330 MRTT</v>
      </c>
      <c r="B5" t="str">
        <v>KC-30A</v>
      </c>
      <c r="C5" t="str">
        <v>Australia</v>
      </c>
      <c r="D5" t="str">
        <v>F/A-18</v>
      </c>
      <c r="E5" t="str">
        <v>A</v>
      </c>
      <c r="F5">
        <v>3</v>
      </c>
      <c r="G5">
        <v>3</v>
      </c>
      <c r="H5" t="str">
        <v>P</v>
      </c>
      <c r="I5" t="str">
        <v>1500 ft</v>
      </c>
      <c r="J5">
        <v>350</v>
      </c>
      <c r="K5">
        <v>250</v>
      </c>
      <c r="L5">
        <v>300</v>
      </c>
      <c r="M5">
        <v>0</v>
      </c>
      <c r="N5">
        <v>2645.5439999999999</v>
      </c>
      <c r="O5" t="str">
        <v>mininimum altitude orginially given in 1500 feet</v>
      </c>
    </row>
    <row r="6" spans="1:16" x14ac:dyDescent="0.3">
      <c r="A6" t="str">
        <v>A330 MRTT</v>
      </c>
      <c r="B6" t="str">
        <v>KC-30A</v>
      </c>
      <c r="C6" t="str">
        <v>Australia</v>
      </c>
      <c r="D6" t="str">
        <v>F35</v>
      </c>
      <c r="E6" t="str">
        <v>A</v>
      </c>
      <c r="F6">
        <v>3</v>
      </c>
      <c r="G6">
        <v>3</v>
      </c>
      <c r="H6" t="str">
        <v>B</v>
      </c>
      <c r="I6">
        <v>15</v>
      </c>
      <c r="J6">
        <v>350</v>
      </c>
      <c r="K6">
        <v>265</v>
      </c>
      <c r="L6">
        <v>325</v>
      </c>
      <c r="M6">
        <v>0</v>
      </c>
      <c r="N6">
        <v>2204.62</v>
      </c>
      <c r="O6">
        <v>0</v>
      </c>
    </row>
    <row r="7" spans="1:16" x14ac:dyDescent="0.3">
      <c r="A7" t="str">
        <v>A330 MRTT</v>
      </c>
      <c r="B7" t="str">
        <v>KC-30A</v>
      </c>
      <c r="C7" t="str">
        <v>Australia</v>
      </c>
      <c r="D7" t="str">
        <v>A330 MRTT</v>
      </c>
      <c r="E7" t="str">
        <v>KC-30A</v>
      </c>
      <c r="F7">
        <v>3</v>
      </c>
      <c r="G7">
        <v>3</v>
      </c>
      <c r="H7" t="str">
        <v>B</v>
      </c>
      <c r="I7">
        <v>150</v>
      </c>
      <c r="J7">
        <v>300</v>
      </c>
      <c r="K7">
        <v>250</v>
      </c>
      <c r="L7">
        <v>290</v>
      </c>
      <c r="M7">
        <v>0</v>
      </c>
      <c r="N7">
        <v>7936.6319999999996</v>
      </c>
      <c r="O7">
        <v>0</v>
      </c>
    </row>
    <row r="8" spans="1:16" x14ac:dyDescent="0.3">
      <c r="A8" t="str">
        <v>A330 MRTT</v>
      </c>
      <c r="B8" t="str">
        <v>KC-30A</v>
      </c>
      <c r="C8" t="str">
        <v>Australia</v>
      </c>
      <c r="D8" t="str">
        <v>P-8</v>
      </c>
      <c r="E8" t="str">
        <v>A</v>
      </c>
      <c r="F8">
        <v>3</v>
      </c>
      <c r="G8">
        <v>3</v>
      </c>
      <c r="H8" t="str">
        <v>B</v>
      </c>
      <c r="I8">
        <v>80</v>
      </c>
      <c r="J8">
        <v>280</v>
      </c>
      <c r="K8">
        <v>250</v>
      </c>
      <c r="L8">
        <v>300</v>
      </c>
      <c r="M8">
        <v>0</v>
      </c>
      <c r="N8">
        <v>4188.7779999999993</v>
      </c>
      <c r="O8">
        <v>0</v>
      </c>
    </row>
    <row r="9" spans="1:16" x14ac:dyDescent="0.3">
      <c r="A9" t="str">
        <v>A330 MRTT</v>
      </c>
      <c r="B9" t="str">
        <v>KC-30A</v>
      </c>
      <c r="C9" t="str">
        <v>Belgium</v>
      </c>
      <c r="D9" t="str">
        <v>F-16</v>
      </c>
      <c r="E9" t="str">
        <v>A</v>
      </c>
      <c r="F9">
        <v>3</v>
      </c>
      <c r="G9" t="str">
        <v>itv</v>
      </c>
      <c r="H9" t="str">
        <v>B</v>
      </c>
      <c r="I9">
        <v>80</v>
      </c>
      <c r="J9">
        <v>300</v>
      </c>
      <c r="K9">
        <v>265</v>
      </c>
      <c r="L9">
        <v>315</v>
      </c>
      <c r="M9">
        <v>0</v>
      </c>
      <c r="N9">
        <v>3086.4679999999998</v>
      </c>
      <c r="O9" t="str">
        <v>KC-30A is not cleared to refuel BAF F-16B</v>
      </c>
    </row>
    <row r="10" spans="1:16" x14ac:dyDescent="0.3">
      <c r="A10" t="str">
        <v>A330 MRTT</v>
      </c>
      <c r="B10" t="str">
        <v>KC-30A</v>
      </c>
      <c r="C10" t="str">
        <v>Canada</v>
      </c>
      <c r="D10" t="str">
        <v>CF/A-18</v>
      </c>
      <c r="E10" t="str">
        <v>A</v>
      </c>
      <c r="F10">
        <v>3</v>
      </c>
      <c r="G10" t="str">
        <v>itv</v>
      </c>
      <c r="H10" t="str">
        <v>P</v>
      </c>
      <c r="I10">
        <v>150</v>
      </c>
      <c r="J10">
        <v>350</v>
      </c>
      <c r="K10">
        <v>250</v>
      </c>
      <c r="L10">
        <v>300</v>
      </c>
      <c r="M10">
        <v>0</v>
      </c>
      <c r="N10">
        <v>2425.0819999999999</v>
      </c>
      <c r="O10">
        <v>0</v>
      </c>
    </row>
    <row r="11" spans="1:16" x14ac:dyDescent="0.3">
      <c r="A11" t="str">
        <v>A330 MRTT</v>
      </c>
      <c r="B11" t="str">
        <v>KC-30A</v>
      </c>
      <c r="C11" t="str">
        <v>Canada</v>
      </c>
      <c r="D11" t="str">
        <v>CF/A-18</v>
      </c>
      <c r="E11" t="str">
        <v>B</v>
      </c>
      <c r="F11">
        <v>3</v>
      </c>
      <c r="G11" t="str">
        <v>itv</v>
      </c>
      <c r="H11" t="str">
        <v>P</v>
      </c>
      <c r="I11">
        <v>150</v>
      </c>
      <c r="J11">
        <v>350</v>
      </c>
      <c r="K11">
        <v>250</v>
      </c>
      <c r="L11">
        <v>300</v>
      </c>
      <c r="M11">
        <v>0</v>
      </c>
      <c r="N11">
        <v>2425.0819999999999</v>
      </c>
      <c r="O11">
        <v>0</v>
      </c>
    </row>
    <row r="12" spans="1:16" x14ac:dyDescent="0.3">
      <c r="A12" t="str">
        <v>A330 MRTT</v>
      </c>
      <c r="B12" t="str">
        <v>KC-30A</v>
      </c>
      <c r="C12" t="str">
        <v>Denmark</v>
      </c>
      <c r="D12" t="str">
        <v>F-16</v>
      </c>
      <c r="E12" t="str">
        <v>A</v>
      </c>
      <c r="F12">
        <v>3</v>
      </c>
      <c r="G12" t="str">
        <v>itv</v>
      </c>
      <c r="H12" t="str">
        <v>B</v>
      </c>
      <c r="I12">
        <v>80</v>
      </c>
      <c r="J12">
        <v>300</v>
      </c>
      <c r="K12">
        <v>265</v>
      </c>
      <c r="L12">
        <v>315</v>
      </c>
      <c r="M12">
        <v>0</v>
      </c>
      <c r="N12">
        <v>3086.4679999999998</v>
      </c>
      <c r="O12" t="str">
        <v>KC-30A is not cleared to refuel BAF F-16B</v>
      </c>
    </row>
    <row r="13" spans="1:16" x14ac:dyDescent="0.3">
      <c r="A13" t="str">
        <v>A330 MRTT</v>
      </c>
      <c r="B13" t="str">
        <v>KC-30A</v>
      </c>
      <c r="C13" t="str">
        <v>Denmark</v>
      </c>
      <c r="D13" t="str">
        <v>F-35</v>
      </c>
      <c r="E13" t="str">
        <v>A</v>
      </c>
      <c r="F13">
        <v>3</v>
      </c>
      <c r="G13" t="str">
        <v>itv</v>
      </c>
      <c r="H13" t="str">
        <v>B</v>
      </c>
      <c r="I13">
        <v>80</v>
      </c>
      <c r="J13">
        <v>350</v>
      </c>
      <c r="K13">
        <v>265</v>
      </c>
      <c r="L13">
        <v>325</v>
      </c>
      <c r="M13">
        <v>0</v>
      </c>
      <c r="N13">
        <v>2204.62</v>
      </c>
      <c r="O13">
        <v>0</v>
      </c>
    </row>
    <row r="14" spans="1:16" x14ac:dyDescent="0.3">
      <c r="A14" t="str">
        <v>A330 MRTT</v>
      </c>
      <c r="B14" t="str">
        <v>KC-30A</v>
      </c>
      <c r="C14" t="str">
        <v>Finland</v>
      </c>
      <c r="D14" t="str">
        <v>F/A-18</v>
      </c>
      <c r="E14" t="str">
        <v>C</v>
      </c>
      <c r="F14">
        <v>3</v>
      </c>
      <c r="G14" t="str">
        <v>itv</v>
      </c>
      <c r="H14" t="str">
        <v>P</v>
      </c>
      <c r="I14">
        <v>150</v>
      </c>
      <c r="J14">
        <v>350</v>
      </c>
      <c r="K14">
        <v>250</v>
      </c>
      <c r="L14">
        <v>300</v>
      </c>
      <c r="M14">
        <v>0</v>
      </c>
      <c r="N14">
        <v>2425.0819999999999</v>
      </c>
      <c r="O14">
        <v>0</v>
      </c>
    </row>
    <row r="15" spans="1:16" x14ac:dyDescent="0.3">
      <c r="A15" t="str">
        <v>A330 MRTT</v>
      </c>
      <c r="B15" t="str">
        <v>KC-30A</v>
      </c>
      <c r="C15" t="str">
        <v>Finland</v>
      </c>
      <c r="D15" t="str">
        <v>F/A-18</v>
      </c>
      <c r="E15" t="str">
        <v>D</v>
      </c>
      <c r="F15">
        <v>3</v>
      </c>
      <c r="G15" t="str">
        <v>itv</v>
      </c>
      <c r="H15" t="str">
        <v>P</v>
      </c>
      <c r="I15">
        <v>150</v>
      </c>
      <c r="J15">
        <v>350</v>
      </c>
      <c r="K15">
        <v>250</v>
      </c>
      <c r="L15">
        <v>300</v>
      </c>
      <c r="M15">
        <v>0</v>
      </c>
      <c r="N15">
        <v>2425.0819999999999</v>
      </c>
      <c r="O15">
        <v>0</v>
      </c>
    </row>
    <row r="16" spans="1:16" x14ac:dyDescent="0.3">
      <c r="A16" t="str">
        <v>A330 MRTT</v>
      </c>
      <c r="B16" t="str">
        <v>KC-30A</v>
      </c>
      <c r="C16" t="str">
        <v>France</v>
      </c>
      <c r="D16" t="str">
        <v>Rafale</v>
      </c>
      <c r="E16" t="str">
        <v>B</v>
      </c>
      <c r="F16">
        <v>3</v>
      </c>
      <c r="G16" t="str">
        <v>itv</v>
      </c>
      <c r="H16" t="str">
        <v>P</v>
      </c>
      <c r="I16">
        <v>100</v>
      </c>
      <c r="J16">
        <v>350</v>
      </c>
      <c r="K16">
        <v>180</v>
      </c>
      <c r="L16">
        <v>325</v>
      </c>
      <c r="M16">
        <v>0</v>
      </c>
      <c r="N16">
        <v>2425.0819999999999</v>
      </c>
      <c r="O16">
        <v>0</v>
      </c>
    </row>
    <row r="17" spans="1:15" x14ac:dyDescent="0.3">
      <c r="A17" t="str">
        <v>A330 MRTT</v>
      </c>
      <c r="B17" t="str">
        <v>KC-30A</v>
      </c>
      <c r="C17" t="str">
        <v>France</v>
      </c>
      <c r="D17" t="str">
        <v>Rafale</v>
      </c>
      <c r="E17" t="str">
        <v>C</v>
      </c>
      <c r="F17">
        <v>3</v>
      </c>
      <c r="G17" t="str">
        <v>itv</v>
      </c>
      <c r="H17" t="str">
        <v>P</v>
      </c>
      <c r="I17">
        <v>100</v>
      </c>
      <c r="J17">
        <v>350</v>
      </c>
      <c r="K17">
        <v>180</v>
      </c>
      <c r="L17">
        <v>325</v>
      </c>
      <c r="M17">
        <v>0</v>
      </c>
      <c r="N17">
        <v>2425.0819999999999</v>
      </c>
      <c r="O17">
        <v>0</v>
      </c>
    </row>
    <row r="18" spans="1:15" x14ac:dyDescent="0.3">
      <c r="A18" t="str">
        <v>A330 MRTT</v>
      </c>
      <c r="B18" t="str">
        <v>KC-30A</v>
      </c>
      <c r="C18" t="str">
        <v>France</v>
      </c>
      <c r="D18" t="str">
        <v>Rafale</v>
      </c>
      <c r="E18" t="str">
        <v>M</v>
      </c>
      <c r="F18">
        <v>3</v>
      </c>
      <c r="G18" t="str">
        <v>itv</v>
      </c>
      <c r="H18" t="str">
        <v>P</v>
      </c>
      <c r="I18">
        <v>100</v>
      </c>
      <c r="J18">
        <v>350</v>
      </c>
      <c r="K18">
        <v>180</v>
      </c>
      <c r="L18">
        <v>325</v>
      </c>
      <c r="M18">
        <v>0</v>
      </c>
      <c r="N18">
        <v>2425.0819999999999</v>
      </c>
      <c r="O18">
        <v>0</v>
      </c>
    </row>
    <row r="19" spans="1:15" x14ac:dyDescent="0.3">
      <c r="A19" t="str">
        <v>A330 MRTT</v>
      </c>
      <c r="B19" t="str">
        <v>KC-30A</v>
      </c>
      <c r="C19" t="str">
        <v>Germany</v>
      </c>
      <c r="D19" t="str">
        <v>EF-2000</v>
      </c>
      <c r="E19" t="str">
        <v>EF-2000</v>
      </c>
      <c r="F19">
        <v>3</v>
      </c>
      <c r="G19" t="str">
        <v>itv</v>
      </c>
      <c r="H19" t="str">
        <v>P</v>
      </c>
      <c r="I19">
        <v>20</v>
      </c>
      <c r="J19">
        <v>350</v>
      </c>
      <c r="K19">
        <v>260</v>
      </c>
      <c r="L19">
        <v>325</v>
      </c>
      <c r="M19">
        <v>0</v>
      </c>
      <c r="N19">
        <v>2425.0819999999999</v>
      </c>
      <c r="O19">
        <v>0</v>
      </c>
    </row>
    <row r="20" spans="1:15" x14ac:dyDescent="0.3">
      <c r="A20" t="str">
        <v>A330 MRTT</v>
      </c>
      <c r="B20" t="str">
        <v>KC-30A</v>
      </c>
      <c r="C20" t="str">
        <v>Indian</v>
      </c>
      <c r="D20" t="str">
        <v>Rafale</v>
      </c>
      <c r="E20" t="str">
        <v>EH</v>
      </c>
      <c r="F20">
        <v>3</v>
      </c>
      <c r="G20" t="str">
        <v>itv</v>
      </c>
      <c r="H20" t="str">
        <v>P</v>
      </c>
      <c r="I20">
        <v>100</v>
      </c>
      <c r="J20">
        <v>350</v>
      </c>
      <c r="K20">
        <v>180</v>
      </c>
      <c r="L20">
        <v>325</v>
      </c>
      <c r="M20">
        <v>0</v>
      </c>
      <c r="N20">
        <v>2425.0819999999999</v>
      </c>
      <c r="O20">
        <v>0</v>
      </c>
    </row>
    <row r="21" spans="1:15" x14ac:dyDescent="0.3">
      <c r="A21" t="str">
        <v>A330 MRTT</v>
      </c>
      <c r="B21" t="str">
        <v>KC-30A</v>
      </c>
      <c r="C21" t="str">
        <v>Indian</v>
      </c>
      <c r="D21" t="str">
        <v>Rafale</v>
      </c>
      <c r="E21" t="str">
        <v>DH</v>
      </c>
      <c r="F21">
        <v>3</v>
      </c>
      <c r="G21" t="str">
        <v>itv</v>
      </c>
      <c r="H21" t="str">
        <v>P</v>
      </c>
      <c r="I21">
        <v>100</v>
      </c>
      <c r="J21">
        <v>350</v>
      </c>
      <c r="K21">
        <v>180</v>
      </c>
      <c r="L21">
        <v>325</v>
      </c>
      <c r="M21">
        <v>0</v>
      </c>
      <c r="N21">
        <v>2425.0819999999999</v>
      </c>
      <c r="O21">
        <v>0</v>
      </c>
    </row>
    <row r="22" spans="1:15" x14ac:dyDescent="0.3">
      <c r="A22" t="str">
        <v>A330 MRTT</v>
      </c>
      <c r="B22" t="str">
        <v>KC-30A</v>
      </c>
      <c r="C22" t="str">
        <v>Indian</v>
      </c>
      <c r="D22" t="str">
        <v>SU-30</v>
      </c>
      <c r="E22" t="str">
        <v>MKI</v>
      </c>
      <c r="F22">
        <v>2</v>
      </c>
      <c r="G22" t="str">
        <v>itv</v>
      </c>
      <c r="H22" t="str">
        <v>P</v>
      </c>
      <c r="I22">
        <v>100</v>
      </c>
      <c r="J22">
        <v>320</v>
      </c>
      <c r="K22">
        <v>250</v>
      </c>
      <c r="L22">
        <v>300</v>
      </c>
      <c r="M22">
        <v>0</v>
      </c>
      <c r="N22">
        <v>1984.1579999999999</v>
      </c>
      <c r="O22">
        <v>0</v>
      </c>
    </row>
    <row r="23" spans="1:15" x14ac:dyDescent="0.3">
      <c r="A23" t="str">
        <v>A330 MRTT</v>
      </c>
      <c r="B23" t="str">
        <v>KC-30A</v>
      </c>
      <c r="C23" t="str">
        <v>Indonesia</v>
      </c>
      <c r="D23" t="str">
        <v>F-16</v>
      </c>
      <c r="E23" t="str">
        <v>B</v>
      </c>
      <c r="F23">
        <v>3</v>
      </c>
      <c r="G23" t="str">
        <v>itv</v>
      </c>
      <c r="H23" t="str">
        <v>B</v>
      </c>
      <c r="I23">
        <v>80</v>
      </c>
      <c r="J23">
        <v>300</v>
      </c>
      <c r="K23">
        <v>265</v>
      </c>
      <c r="L23">
        <v>315</v>
      </c>
      <c r="M23">
        <v>0</v>
      </c>
      <c r="N23">
        <v>3086.4679999999998</v>
      </c>
      <c r="O23">
        <v>0</v>
      </c>
    </row>
    <row r="24" spans="1:15" x14ac:dyDescent="0.3">
      <c r="A24" t="str">
        <v>A330 MRTT</v>
      </c>
      <c r="B24" t="str">
        <v>KC-30A</v>
      </c>
      <c r="C24" t="str">
        <v>Indonesia</v>
      </c>
      <c r="D24" t="str">
        <v>F-16</v>
      </c>
      <c r="E24" t="str">
        <v>C</v>
      </c>
      <c r="F24">
        <v>3</v>
      </c>
      <c r="G24" t="str">
        <v>itv</v>
      </c>
      <c r="H24" t="str">
        <v>B</v>
      </c>
      <c r="I24">
        <v>80</v>
      </c>
      <c r="J24">
        <v>300</v>
      </c>
      <c r="K24">
        <v>265</v>
      </c>
      <c r="L24">
        <v>315</v>
      </c>
      <c r="M24">
        <v>0</v>
      </c>
      <c r="N24">
        <v>3086.4679999999998</v>
      </c>
      <c r="O24">
        <v>0</v>
      </c>
    </row>
    <row r="25" spans="1:15" x14ac:dyDescent="0.3">
      <c r="A25" t="str">
        <v>A330 MRTT</v>
      </c>
      <c r="B25" t="str">
        <v>KC-30A</v>
      </c>
      <c r="C25" t="str">
        <v>Indonesia</v>
      </c>
      <c r="D25" t="str">
        <v>F-16</v>
      </c>
      <c r="E25" t="str">
        <v xml:space="preserve">D </v>
      </c>
      <c r="F25">
        <v>3</v>
      </c>
      <c r="G25" t="str">
        <v>itv</v>
      </c>
      <c r="H25" t="str">
        <v>B</v>
      </c>
      <c r="I25">
        <v>80</v>
      </c>
      <c r="J25">
        <v>300</v>
      </c>
      <c r="K25">
        <v>265</v>
      </c>
      <c r="L25">
        <v>315</v>
      </c>
      <c r="M25">
        <v>0</v>
      </c>
      <c r="N25">
        <v>3086.4679999999998</v>
      </c>
      <c r="O25">
        <v>0</v>
      </c>
    </row>
    <row r="26" spans="1:15" x14ac:dyDescent="0.3">
      <c r="A26" t="str">
        <v>A330 MRTT</v>
      </c>
      <c r="B26" t="str">
        <v>KC-30A</v>
      </c>
      <c r="C26" t="str">
        <v>Italy</v>
      </c>
      <c r="D26" t="str">
        <v>F-35</v>
      </c>
      <c r="E26" t="str">
        <v>A</v>
      </c>
      <c r="F26">
        <v>3</v>
      </c>
      <c r="G26" t="str">
        <v>itv</v>
      </c>
      <c r="H26" t="str">
        <v>B</v>
      </c>
      <c r="I26">
        <v>80</v>
      </c>
      <c r="J26">
        <v>350</v>
      </c>
      <c r="K26">
        <v>265</v>
      </c>
      <c r="L26">
        <v>325</v>
      </c>
      <c r="M26">
        <v>0</v>
      </c>
      <c r="N26">
        <v>2204.62</v>
      </c>
      <c r="O26">
        <v>0</v>
      </c>
    </row>
    <row r="27" spans="1:15" x14ac:dyDescent="0.3">
      <c r="A27" t="str">
        <v>A330 MRTT</v>
      </c>
      <c r="B27" t="str">
        <v>KC-30A</v>
      </c>
      <c r="C27" t="str">
        <v>Italy</v>
      </c>
      <c r="D27" t="str">
        <v>EF-2000</v>
      </c>
      <c r="E27" t="str">
        <v>F-2000A</v>
      </c>
      <c r="F27">
        <v>3</v>
      </c>
      <c r="G27" t="str">
        <v>itv</v>
      </c>
      <c r="H27" t="str">
        <v>P</v>
      </c>
      <c r="I27">
        <v>20</v>
      </c>
      <c r="J27">
        <v>350</v>
      </c>
      <c r="K27">
        <v>260</v>
      </c>
      <c r="L27">
        <v>325</v>
      </c>
      <c r="M27">
        <v>0</v>
      </c>
      <c r="N27">
        <v>2425.0819999999999</v>
      </c>
      <c r="O27">
        <v>0</v>
      </c>
    </row>
    <row r="28" spans="1:15" x14ac:dyDescent="0.3">
      <c r="A28" t="str">
        <v>A330 MRTT</v>
      </c>
      <c r="B28" t="str">
        <v>KC-30A</v>
      </c>
      <c r="C28" t="str">
        <v>Italy</v>
      </c>
      <c r="D28" t="str">
        <v>F-35</v>
      </c>
      <c r="E28" t="str">
        <v>B</v>
      </c>
      <c r="F28">
        <v>3</v>
      </c>
      <c r="G28" t="str">
        <v>itv</v>
      </c>
      <c r="H28" t="str">
        <v>P</v>
      </c>
      <c r="I28">
        <v>150</v>
      </c>
      <c r="J28">
        <v>350</v>
      </c>
      <c r="K28">
        <v>260</v>
      </c>
      <c r="L28">
        <v>300</v>
      </c>
      <c r="M28">
        <v>0</v>
      </c>
      <c r="N28">
        <v>1984.1579999999999</v>
      </c>
      <c r="O28">
        <v>0</v>
      </c>
    </row>
    <row r="29" spans="1:15" x14ac:dyDescent="0.3">
      <c r="A29" t="str">
        <v>A330 MRTT</v>
      </c>
      <c r="B29" t="str">
        <v>KC-30A</v>
      </c>
      <c r="C29" t="str">
        <v>Japan</v>
      </c>
      <c r="D29" t="str">
        <v>F-15</v>
      </c>
      <c r="E29" t="str">
        <v>J</v>
      </c>
      <c r="F29">
        <v>3</v>
      </c>
      <c r="G29" t="str">
        <v>itv</v>
      </c>
      <c r="H29" t="str">
        <v>B</v>
      </c>
      <c r="I29">
        <v>100</v>
      </c>
      <c r="J29">
        <v>310</v>
      </c>
      <c r="K29">
        <v>265</v>
      </c>
      <c r="L29">
        <v>300</v>
      </c>
      <c r="M29">
        <v>0</v>
      </c>
      <c r="N29">
        <v>3086.4679999999998</v>
      </c>
      <c r="O29">
        <v>0</v>
      </c>
    </row>
    <row r="30" spans="1:15" x14ac:dyDescent="0.3">
      <c r="A30" t="str">
        <v>A330 MRTT</v>
      </c>
      <c r="B30" t="str">
        <v>KC-30A</v>
      </c>
      <c r="C30" t="str">
        <v>Japan</v>
      </c>
      <c r="D30" t="str">
        <v>F-15</v>
      </c>
      <c r="E30" t="str">
        <v>DJ</v>
      </c>
      <c r="F30">
        <v>3</v>
      </c>
      <c r="G30" t="str">
        <v>itv</v>
      </c>
      <c r="H30" t="str">
        <v>B</v>
      </c>
      <c r="I30">
        <v>100</v>
      </c>
      <c r="J30">
        <v>300</v>
      </c>
      <c r="K30">
        <v>265</v>
      </c>
      <c r="L30">
        <v>300</v>
      </c>
      <c r="M30">
        <v>0</v>
      </c>
      <c r="N30">
        <v>3086.4679999999998</v>
      </c>
      <c r="O30">
        <v>0</v>
      </c>
    </row>
    <row r="31" spans="1:15" x14ac:dyDescent="0.3">
      <c r="A31" t="str">
        <v>A330 MRTT</v>
      </c>
      <c r="B31" t="str">
        <v>KC-30A</v>
      </c>
      <c r="C31" t="str">
        <v>Japan</v>
      </c>
      <c r="D31" t="str">
        <v>F-15</v>
      </c>
      <c r="E31" t="str">
        <v xml:space="preserve">K </v>
      </c>
      <c r="F31">
        <v>2</v>
      </c>
      <c r="G31" t="str">
        <v>itv</v>
      </c>
      <c r="H31" t="str">
        <v>B</v>
      </c>
      <c r="I31">
        <v>100</v>
      </c>
      <c r="J31">
        <v>300</v>
      </c>
      <c r="K31">
        <v>265</v>
      </c>
      <c r="L31">
        <v>290</v>
      </c>
      <c r="M31">
        <v>0</v>
      </c>
      <c r="N31">
        <v>3086.4679999999998</v>
      </c>
      <c r="O31" t="str">
        <v>For FL150-FL300 265 - 300 KCAS</v>
      </c>
    </row>
    <row r="32" spans="1:15" x14ac:dyDescent="0.3">
      <c r="A32" t="str">
        <v>A330 MRTT</v>
      </c>
      <c r="B32" t="str">
        <v>KC-30A</v>
      </c>
      <c r="C32" t="str">
        <v>Japan</v>
      </c>
      <c r="D32" t="str">
        <v>F-2</v>
      </c>
      <c r="E32" t="str">
        <v>A</v>
      </c>
      <c r="F32">
        <v>3</v>
      </c>
      <c r="G32" t="str">
        <v>itv</v>
      </c>
      <c r="H32" t="str">
        <v>B</v>
      </c>
      <c r="I32">
        <v>80</v>
      </c>
      <c r="J32">
        <v>320</v>
      </c>
      <c r="K32">
        <v>265</v>
      </c>
      <c r="L32">
        <v>315</v>
      </c>
      <c r="M32">
        <v>0</v>
      </c>
      <c r="N32">
        <v>3086.4679999999998</v>
      </c>
      <c r="O32">
        <v>0</v>
      </c>
    </row>
    <row r="33" spans="1:15" x14ac:dyDescent="0.3">
      <c r="A33" t="str">
        <v>A330 MRTT</v>
      </c>
      <c r="B33" t="str">
        <v>KC-30A</v>
      </c>
      <c r="C33" t="str">
        <v>Japan</v>
      </c>
      <c r="D33" t="str">
        <v>F-2</v>
      </c>
      <c r="E33" t="str">
        <v>B</v>
      </c>
      <c r="F33">
        <v>3</v>
      </c>
      <c r="G33" t="str">
        <v>itv</v>
      </c>
      <c r="H33" t="str">
        <v>B</v>
      </c>
      <c r="I33">
        <v>80</v>
      </c>
      <c r="J33">
        <v>320</v>
      </c>
      <c r="K33">
        <v>265</v>
      </c>
      <c r="L33">
        <v>315</v>
      </c>
      <c r="M33">
        <v>0</v>
      </c>
      <c r="N33">
        <v>3086.4679999999998</v>
      </c>
      <c r="O33">
        <v>0</v>
      </c>
    </row>
    <row r="34" spans="1:15" x14ac:dyDescent="0.3">
      <c r="A34" t="str">
        <v>A330 MRTT</v>
      </c>
      <c r="B34" t="str">
        <v>KC-30A</v>
      </c>
      <c r="C34" t="str">
        <v>Japan</v>
      </c>
      <c r="D34" t="str">
        <v>F-35</v>
      </c>
      <c r="E34" t="str">
        <v>A</v>
      </c>
      <c r="F34">
        <v>3</v>
      </c>
      <c r="G34" t="str">
        <v>itv</v>
      </c>
      <c r="H34" t="str">
        <v>B</v>
      </c>
      <c r="I34">
        <v>80</v>
      </c>
      <c r="J34">
        <v>350</v>
      </c>
      <c r="K34">
        <v>265</v>
      </c>
      <c r="L34">
        <v>325</v>
      </c>
      <c r="M34">
        <v>0</v>
      </c>
      <c r="N34">
        <v>2204.62</v>
      </c>
      <c r="O34">
        <v>0</v>
      </c>
    </row>
    <row r="35" spans="1:15" x14ac:dyDescent="0.3">
      <c r="A35" t="str">
        <v>A330 MRTT</v>
      </c>
      <c r="B35" t="str">
        <v>KC-30A</v>
      </c>
      <c r="C35" t="str">
        <v>Japan</v>
      </c>
      <c r="D35" t="str">
        <v>F-35</v>
      </c>
      <c r="E35" t="str">
        <v>B</v>
      </c>
      <c r="F35">
        <v>3</v>
      </c>
      <c r="G35" t="str">
        <v>itv</v>
      </c>
      <c r="H35" t="str">
        <v>P</v>
      </c>
      <c r="I35">
        <v>150</v>
      </c>
      <c r="J35">
        <v>350</v>
      </c>
      <c r="K35">
        <v>260</v>
      </c>
      <c r="L35">
        <v>300</v>
      </c>
      <c r="M35">
        <v>0</v>
      </c>
      <c r="N35">
        <v>1984.1579999999999</v>
      </c>
      <c r="O35">
        <v>0</v>
      </c>
    </row>
    <row r="36" spans="1:15" x14ac:dyDescent="0.3">
      <c r="A36" t="str">
        <v>A330 MRTT</v>
      </c>
      <c r="B36" t="str">
        <v>KC-30A</v>
      </c>
      <c r="C36" t="str">
        <v>Malaysia</v>
      </c>
      <c r="D36" t="str">
        <v>F/A-18</v>
      </c>
      <c r="E36" t="str">
        <v>D</v>
      </c>
      <c r="F36">
        <v>3</v>
      </c>
      <c r="G36" t="str">
        <v>itv</v>
      </c>
      <c r="H36" t="str">
        <v>P</v>
      </c>
      <c r="I36">
        <v>150</v>
      </c>
      <c r="J36">
        <v>350</v>
      </c>
      <c r="K36">
        <v>250</v>
      </c>
      <c r="L36">
        <v>300</v>
      </c>
      <c r="M36">
        <v>0</v>
      </c>
      <c r="N36">
        <v>2425.0819999999999</v>
      </c>
      <c r="O36">
        <v>0</v>
      </c>
    </row>
    <row r="37" spans="1:15" x14ac:dyDescent="0.3">
      <c r="A37" t="str">
        <v>A330 MRTT</v>
      </c>
      <c r="B37" t="str">
        <v>KC-30A</v>
      </c>
      <c r="C37" t="str">
        <v>Malaysia</v>
      </c>
      <c r="D37" t="str">
        <v>SU-30</v>
      </c>
      <c r="E37" t="str">
        <v>MKM</v>
      </c>
      <c r="F37">
        <v>2</v>
      </c>
      <c r="G37" t="str">
        <v>itv</v>
      </c>
      <c r="H37" t="str">
        <v>P</v>
      </c>
      <c r="I37">
        <v>100</v>
      </c>
      <c r="J37">
        <v>320</v>
      </c>
      <c r="K37">
        <v>250</v>
      </c>
      <c r="L37">
        <v>300</v>
      </c>
      <c r="M37">
        <v>0</v>
      </c>
      <c r="N37">
        <v>1984.1579999999999</v>
      </c>
      <c r="O37">
        <v>0</v>
      </c>
    </row>
    <row r="38" spans="1:15" x14ac:dyDescent="0.3">
      <c r="A38" t="str">
        <v>A330 MRTT</v>
      </c>
      <c r="B38" t="str">
        <v>KC-30A</v>
      </c>
      <c r="C38" t="str">
        <v>NATO</v>
      </c>
      <c r="D38" t="str">
        <v>C-17</v>
      </c>
      <c r="E38" t="str">
        <v>A</v>
      </c>
      <c r="F38">
        <v>3</v>
      </c>
      <c r="G38" t="str">
        <v>itv</v>
      </c>
      <c r="H38" t="str">
        <v>B</v>
      </c>
      <c r="I38">
        <v>150</v>
      </c>
      <c r="J38">
        <v>280</v>
      </c>
      <c r="K38">
        <v>265</v>
      </c>
      <c r="L38">
        <v>285</v>
      </c>
      <c r="M38">
        <v>0</v>
      </c>
      <c r="N38">
        <v>7936.6319999999996</v>
      </c>
      <c r="O38">
        <v>0</v>
      </c>
    </row>
    <row r="39" spans="1:15" x14ac:dyDescent="0.3">
      <c r="A39" t="str">
        <v>A330 MRTT</v>
      </c>
      <c r="B39" t="str">
        <v>KC-30A</v>
      </c>
      <c r="C39" t="str">
        <v>Netherlands</v>
      </c>
      <c r="D39" t="str">
        <v>F-16</v>
      </c>
      <c r="E39" t="str">
        <v>A</v>
      </c>
      <c r="F39">
        <v>3</v>
      </c>
      <c r="G39" t="str">
        <v>itv</v>
      </c>
      <c r="H39" t="str">
        <v>B</v>
      </c>
      <c r="I39">
        <v>80</v>
      </c>
      <c r="J39">
        <v>300</v>
      </c>
      <c r="K39">
        <v>265</v>
      </c>
      <c r="L39">
        <v>315</v>
      </c>
      <c r="M39">
        <v>0</v>
      </c>
      <c r="N39">
        <v>3086.4679999999998</v>
      </c>
      <c r="O39" t="str">
        <v>KC-30A is not cleared to refuel RNLAF F-16B</v>
      </c>
    </row>
    <row r="40" spans="1:15" x14ac:dyDescent="0.3">
      <c r="A40" t="str">
        <v>A330 MRTT</v>
      </c>
      <c r="B40" t="str">
        <v>KC-30A</v>
      </c>
      <c r="C40" t="str">
        <v>Netherlands</v>
      </c>
      <c r="D40" t="str">
        <v>F-35</v>
      </c>
      <c r="E40" t="str">
        <v>A</v>
      </c>
      <c r="F40">
        <v>3</v>
      </c>
      <c r="G40" t="str">
        <v>itv</v>
      </c>
      <c r="H40" t="str">
        <v>B</v>
      </c>
      <c r="I40">
        <v>80</v>
      </c>
      <c r="J40">
        <v>350</v>
      </c>
      <c r="K40">
        <v>265</v>
      </c>
      <c r="L40">
        <v>325</v>
      </c>
      <c r="M40">
        <v>0</v>
      </c>
      <c r="N40">
        <v>2204.62</v>
      </c>
      <c r="O40">
        <v>0</v>
      </c>
    </row>
    <row r="41" spans="1:15" x14ac:dyDescent="0.3">
      <c r="A41" t="str">
        <v>A330 MRTT</v>
      </c>
      <c r="B41" t="str">
        <v>KC-30A</v>
      </c>
      <c r="C41" t="str">
        <v>Norway</v>
      </c>
      <c r="D41" t="str">
        <v>F-35</v>
      </c>
      <c r="E41" t="str">
        <v>A</v>
      </c>
      <c r="F41">
        <v>3</v>
      </c>
      <c r="G41" t="str">
        <v>itv</v>
      </c>
      <c r="H41" t="str">
        <v>B</v>
      </c>
      <c r="I41">
        <v>80</v>
      </c>
      <c r="J41">
        <v>350</v>
      </c>
      <c r="K41">
        <v>265</v>
      </c>
      <c r="L41">
        <v>325</v>
      </c>
      <c r="M41">
        <v>0</v>
      </c>
      <c r="N41">
        <v>2204.62</v>
      </c>
      <c r="O41">
        <v>0</v>
      </c>
    </row>
    <row r="42" spans="1:15" x14ac:dyDescent="0.3">
      <c r="A42" t="str">
        <v>A330 MRTT</v>
      </c>
      <c r="B42" t="str">
        <v>KC-30A</v>
      </c>
      <c r="C42" t="str">
        <v>Portugal</v>
      </c>
      <c r="D42" t="str">
        <v>F-16</v>
      </c>
      <c r="E42" t="str">
        <v>A</v>
      </c>
      <c r="F42">
        <v>3</v>
      </c>
      <c r="G42" t="str">
        <v>itv</v>
      </c>
      <c r="H42" t="str">
        <v>B</v>
      </c>
      <c r="I42">
        <v>80</v>
      </c>
      <c r="J42">
        <v>300</v>
      </c>
      <c r="K42">
        <v>265</v>
      </c>
      <c r="L42">
        <v>315</v>
      </c>
      <c r="M42">
        <v>0</v>
      </c>
      <c r="N42">
        <v>3086.4679999999998</v>
      </c>
      <c r="O42" t="str">
        <v>KC-30A is not cleared to refuel PoAF F-16B</v>
      </c>
    </row>
    <row r="43" spans="1:15" x14ac:dyDescent="0.3">
      <c r="A43" t="str">
        <v>A330 MRTT</v>
      </c>
      <c r="B43" t="str">
        <v>KC-30A</v>
      </c>
      <c r="C43" t="str">
        <v>Singapore</v>
      </c>
      <c r="D43" t="str">
        <v>F-15</v>
      </c>
      <c r="E43" t="str">
        <v>SG</v>
      </c>
      <c r="F43">
        <v>2</v>
      </c>
      <c r="G43" t="str">
        <v>itv</v>
      </c>
      <c r="H43" t="str">
        <v>B</v>
      </c>
      <c r="I43">
        <v>100</v>
      </c>
      <c r="J43">
        <v>300</v>
      </c>
      <c r="K43">
        <v>265</v>
      </c>
      <c r="L43">
        <v>290</v>
      </c>
      <c r="M43">
        <v>0</v>
      </c>
      <c r="N43">
        <v>3086.4679999999998</v>
      </c>
      <c r="O43" t="str">
        <v>For FL150-FL300 265 - 300 KCAS</v>
      </c>
    </row>
    <row r="44" spans="1:15" x14ac:dyDescent="0.3">
      <c r="A44" t="str">
        <v>A330 MRTT</v>
      </c>
      <c r="B44" t="str">
        <v>KC-30A</v>
      </c>
      <c r="C44" t="str">
        <v>Singapore</v>
      </c>
      <c r="D44" t="str">
        <v>F-16</v>
      </c>
      <c r="E44" t="str">
        <v>C</v>
      </c>
      <c r="F44">
        <v>3</v>
      </c>
      <c r="G44" t="str">
        <v>itv</v>
      </c>
      <c r="H44" t="str">
        <v>B</v>
      </c>
      <c r="I44">
        <v>80</v>
      </c>
      <c r="J44">
        <v>300</v>
      </c>
      <c r="K44">
        <v>265</v>
      </c>
      <c r="L44">
        <v>315</v>
      </c>
      <c r="M44">
        <v>0</v>
      </c>
      <c r="N44">
        <v>3086.4679999999998</v>
      </c>
      <c r="O44">
        <v>0</v>
      </c>
    </row>
    <row r="45" spans="1:15" x14ac:dyDescent="0.3">
      <c r="A45" t="str">
        <v>A330 MRTT</v>
      </c>
      <c r="B45" t="str">
        <v>KC-30A</v>
      </c>
      <c r="C45" t="str">
        <v>Singapore</v>
      </c>
      <c r="D45" t="str">
        <v>F-16</v>
      </c>
      <c r="E45" t="str">
        <v>D</v>
      </c>
      <c r="F45">
        <v>3</v>
      </c>
      <c r="G45" t="str">
        <v>itv</v>
      </c>
      <c r="H45" t="str">
        <v>B</v>
      </c>
      <c r="I45">
        <v>80</v>
      </c>
      <c r="J45">
        <v>300</v>
      </c>
      <c r="K45">
        <v>265</v>
      </c>
      <c r="L45">
        <v>315</v>
      </c>
      <c r="M45">
        <v>0</v>
      </c>
      <c r="N45">
        <v>3086.4679999999998</v>
      </c>
      <c r="O45">
        <v>0</v>
      </c>
    </row>
    <row r="46" spans="1:15" x14ac:dyDescent="0.3">
      <c r="A46" t="str">
        <v>A330 MRTT</v>
      </c>
      <c r="B46" t="str">
        <v>KC-30A</v>
      </c>
      <c r="C46" t="str">
        <v>Singapore</v>
      </c>
      <c r="D46" t="str">
        <v>F-16</v>
      </c>
      <c r="E46" t="str">
        <v>D+</v>
      </c>
      <c r="F46">
        <v>3</v>
      </c>
      <c r="G46" t="str">
        <v>itv</v>
      </c>
      <c r="H46" t="str">
        <v>B</v>
      </c>
      <c r="I46">
        <v>80</v>
      </c>
      <c r="J46">
        <v>300</v>
      </c>
      <c r="K46">
        <v>265</v>
      </c>
      <c r="L46">
        <v>315</v>
      </c>
      <c r="M46">
        <v>0</v>
      </c>
      <c r="N46">
        <v>3086.4679999999998</v>
      </c>
      <c r="O46">
        <v>0</v>
      </c>
    </row>
    <row r="47" spans="1:15" x14ac:dyDescent="0.3">
      <c r="A47" t="str">
        <v>A330 MRTT</v>
      </c>
      <c r="B47" t="str">
        <v>KC-30A</v>
      </c>
      <c r="C47" t="str">
        <v>Singapore</v>
      </c>
      <c r="D47" t="str">
        <v>A330 MRTT</v>
      </c>
      <c r="E47" t="str">
        <v>A-330 MRTT</v>
      </c>
      <c r="F47">
        <v>3</v>
      </c>
      <c r="G47" t="str">
        <v>itv</v>
      </c>
      <c r="H47" t="str">
        <v>B</v>
      </c>
      <c r="I47">
        <v>150</v>
      </c>
      <c r="J47">
        <v>300</v>
      </c>
      <c r="K47">
        <v>250</v>
      </c>
      <c r="L47">
        <v>290</v>
      </c>
      <c r="M47">
        <v>0</v>
      </c>
      <c r="N47">
        <v>7936.6319999999996</v>
      </c>
      <c r="O47">
        <v>0</v>
      </c>
    </row>
    <row r="48" spans="1:15" x14ac:dyDescent="0.3">
      <c r="A48" t="str">
        <v>A330 MRTT</v>
      </c>
      <c r="B48" t="str">
        <v>KC-30A</v>
      </c>
      <c r="C48" t="str">
        <v>South Korea</v>
      </c>
      <c r="D48" t="str">
        <v>F-16</v>
      </c>
      <c r="E48" t="str">
        <v>C</v>
      </c>
      <c r="F48">
        <v>3</v>
      </c>
      <c r="G48" t="str">
        <v>itv</v>
      </c>
      <c r="H48" t="str">
        <v>B</v>
      </c>
      <c r="I48">
        <v>80</v>
      </c>
      <c r="J48">
        <v>300</v>
      </c>
      <c r="K48">
        <v>265</v>
      </c>
      <c r="L48">
        <v>315</v>
      </c>
      <c r="M48">
        <v>0</v>
      </c>
      <c r="N48">
        <v>3086.4679999999998</v>
      </c>
      <c r="O48">
        <v>0</v>
      </c>
    </row>
    <row r="49" spans="1:15" x14ac:dyDescent="0.3">
      <c r="A49" t="str">
        <v>A330 MRTT</v>
      </c>
      <c r="B49" t="str">
        <v>KC-30A</v>
      </c>
      <c r="C49" t="str">
        <v>South Korea</v>
      </c>
      <c r="D49" t="str">
        <v>F-35</v>
      </c>
      <c r="E49" t="str">
        <v>A</v>
      </c>
      <c r="F49">
        <v>3</v>
      </c>
      <c r="G49" t="str">
        <v>itv</v>
      </c>
      <c r="H49" t="str">
        <v>B</v>
      </c>
      <c r="I49">
        <v>80</v>
      </c>
      <c r="J49">
        <v>350</v>
      </c>
      <c r="K49">
        <v>265</v>
      </c>
      <c r="L49">
        <v>325</v>
      </c>
      <c r="M49">
        <v>0</v>
      </c>
      <c r="N49">
        <v>2204.62</v>
      </c>
      <c r="O49">
        <v>0</v>
      </c>
    </row>
    <row r="50" spans="1:15" x14ac:dyDescent="0.3">
      <c r="A50" t="str">
        <v>A330 MRTT</v>
      </c>
      <c r="B50" t="str">
        <v>KC-30A</v>
      </c>
      <c r="C50" t="str">
        <v>South Korea</v>
      </c>
      <c r="D50" t="str">
        <v>F-35</v>
      </c>
      <c r="E50" t="str">
        <v>B</v>
      </c>
      <c r="F50">
        <v>3</v>
      </c>
      <c r="G50" t="str">
        <v>itv</v>
      </c>
      <c r="H50" t="str">
        <v>P</v>
      </c>
      <c r="I50">
        <v>150</v>
      </c>
      <c r="J50">
        <v>350</v>
      </c>
      <c r="K50">
        <v>260</v>
      </c>
      <c r="L50">
        <v>300</v>
      </c>
      <c r="M50">
        <v>0</v>
      </c>
      <c r="N50">
        <v>1984.1579999999999</v>
      </c>
      <c r="O50">
        <v>0</v>
      </c>
    </row>
    <row r="51" spans="1:15" x14ac:dyDescent="0.3">
      <c r="A51" t="str">
        <v>A330 MRTT</v>
      </c>
      <c r="B51" t="str">
        <v>KC-30A</v>
      </c>
      <c r="C51" t="str">
        <v>Spain</v>
      </c>
      <c r="D51" t="str">
        <v>EF-18</v>
      </c>
      <c r="E51" t="str">
        <v>A</v>
      </c>
      <c r="F51">
        <v>3</v>
      </c>
      <c r="G51" t="str">
        <v>itv</v>
      </c>
      <c r="H51" t="str">
        <v>P</v>
      </c>
      <c r="I51">
        <v>150</v>
      </c>
      <c r="J51">
        <v>350</v>
      </c>
      <c r="K51">
        <v>250</v>
      </c>
      <c r="L51">
        <v>300</v>
      </c>
      <c r="M51">
        <v>0</v>
      </c>
      <c r="N51">
        <v>2425.0819999999999</v>
      </c>
      <c r="O51">
        <v>0</v>
      </c>
    </row>
    <row r="52" spans="1:15" x14ac:dyDescent="0.3">
      <c r="A52" t="str">
        <v>A330 MRTT</v>
      </c>
      <c r="B52" t="str">
        <v>KC-30A</v>
      </c>
      <c r="C52" t="str">
        <v>Spain</v>
      </c>
      <c r="D52" t="str">
        <v>EF-18</v>
      </c>
      <c r="E52" t="str">
        <v>B</v>
      </c>
      <c r="F52">
        <v>3</v>
      </c>
      <c r="G52" t="str">
        <v>itv</v>
      </c>
      <c r="H52" t="str">
        <v>P</v>
      </c>
      <c r="I52">
        <v>150</v>
      </c>
      <c r="J52">
        <v>350</v>
      </c>
      <c r="K52">
        <v>250</v>
      </c>
      <c r="L52">
        <v>300</v>
      </c>
      <c r="M52">
        <v>0</v>
      </c>
      <c r="N52">
        <v>2425.0819999999999</v>
      </c>
      <c r="O52">
        <v>0</v>
      </c>
    </row>
    <row r="53" spans="1:15" x14ac:dyDescent="0.3">
      <c r="A53" t="str">
        <v>A330 MRTT</v>
      </c>
      <c r="B53" t="str">
        <v>KC-30A</v>
      </c>
      <c r="C53" t="str">
        <v>Spain</v>
      </c>
      <c r="D53" t="str">
        <v>EF-2000</v>
      </c>
      <c r="E53" t="str">
        <v>EF-2000</v>
      </c>
      <c r="F53">
        <v>3</v>
      </c>
      <c r="G53" t="str">
        <v>itv</v>
      </c>
      <c r="H53" t="str">
        <v>P</v>
      </c>
      <c r="I53">
        <v>20</v>
      </c>
      <c r="J53">
        <v>350</v>
      </c>
      <c r="K53">
        <v>260</v>
      </c>
      <c r="L53">
        <v>325</v>
      </c>
      <c r="M53">
        <v>0</v>
      </c>
      <c r="N53">
        <v>2425.0819999999999</v>
      </c>
      <c r="O53">
        <v>0</v>
      </c>
    </row>
    <row r="54" spans="1:15" x14ac:dyDescent="0.3">
      <c r="A54" t="str">
        <v>A330 MRTT</v>
      </c>
      <c r="B54" t="str">
        <v>KC-30A</v>
      </c>
      <c r="C54" t="str">
        <v>Sweden</v>
      </c>
      <c r="D54" t="str">
        <v>Gripen</v>
      </c>
      <c r="E54" t="str">
        <v>C</v>
      </c>
      <c r="F54">
        <v>3</v>
      </c>
      <c r="G54" t="str">
        <v>itv</v>
      </c>
      <c r="H54" t="str">
        <v>P</v>
      </c>
      <c r="I54">
        <v>50</v>
      </c>
      <c r="J54">
        <v>330</v>
      </c>
      <c r="K54">
        <v>260</v>
      </c>
      <c r="L54">
        <v>325</v>
      </c>
      <c r="M54">
        <v>0</v>
      </c>
      <c r="N54">
        <v>1962.1117999999999</v>
      </c>
      <c r="O54">
        <v>0</v>
      </c>
    </row>
    <row r="55" spans="1:15" x14ac:dyDescent="0.3">
      <c r="A55" t="str">
        <v>A330 MRTT</v>
      </c>
      <c r="B55" t="str">
        <v>KC-30A</v>
      </c>
      <c r="C55" t="str">
        <v>Sweden</v>
      </c>
      <c r="D55" t="str">
        <v>Gripen</v>
      </c>
      <c r="E55" t="str">
        <v>D</v>
      </c>
      <c r="F55">
        <v>3</v>
      </c>
      <c r="G55" t="str">
        <v>itv</v>
      </c>
      <c r="H55" t="str">
        <v>P</v>
      </c>
      <c r="I55">
        <v>50</v>
      </c>
      <c r="J55">
        <v>330</v>
      </c>
      <c r="K55">
        <v>260</v>
      </c>
      <c r="L55">
        <v>325</v>
      </c>
      <c r="M55">
        <v>0</v>
      </c>
      <c r="N55">
        <v>1962.1117999999999</v>
      </c>
      <c r="O55">
        <v>0</v>
      </c>
    </row>
    <row r="56" spans="1:15" x14ac:dyDescent="0.3">
      <c r="A56" t="str">
        <v>A330 MRTT</v>
      </c>
      <c r="B56" t="str">
        <v>KC-30A</v>
      </c>
      <c r="C56" t="str">
        <v>Thailand</v>
      </c>
      <c r="D56" t="str">
        <v>F-16</v>
      </c>
      <c r="E56" t="str">
        <v>A</v>
      </c>
      <c r="F56">
        <v>3</v>
      </c>
      <c r="G56" t="str">
        <v>itv</v>
      </c>
      <c r="H56" t="str">
        <v>B</v>
      </c>
      <c r="I56">
        <v>80</v>
      </c>
      <c r="J56">
        <v>300</v>
      </c>
      <c r="K56">
        <v>265</v>
      </c>
      <c r="L56">
        <v>315</v>
      </c>
      <c r="M56">
        <v>0</v>
      </c>
      <c r="N56">
        <v>3086.4679999999998</v>
      </c>
      <c r="O56" t="str">
        <v>KC-30A is not cleared to refuel RTAF F-16B</v>
      </c>
    </row>
    <row r="57" spans="1:15" x14ac:dyDescent="0.3">
      <c r="A57" t="str">
        <v>A330 MRTT</v>
      </c>
      <c r="B57" t="str">
        <v>KC-30A</v>
      </c>
      <c r="C57" t="str">
        <v>Thailand</v>
      </c>
      <c r="D57" t="str">
        <v>Gripen</v>
      </c>
      <c r="E57" t="str">
        <v>C</v>
      </c>
      <c r="F57">
        <v>3</v>
      </c>
      <c r="G57" t="str">
        <v>itv</v>
      </c>
      <c r="H57" t="str">
        <v>P</v>
      </c>
      <c r="I57">
        <v>50</v>
      </c>
      <c r="J57">
        <v>330</v>
      </c>
      <c r="K57">
        <v>260</v>
      </c>
      <c r="L57">
        <v>325</v>
      </c>
      <c r="M57">
        <v>0</v>
      </c>
      <c r="N57">
        <v>1962.1117999999999</v>
      </c>
      <c r="O57">
        <v>0</v>
      </c>
    </row>
    <row r="58" spans="1:15" x14ac:dyDescent="0.3">
      <c r="A58" t="str">
        <v>A330 MRTT</v>
      </c>
      <c r="B58" t="str">
        <v>KC-30A</v>
      </c>
      <c r="C58" t="str">
        <v>Thailand</v>
      </c>
      <c r="D58" t="str">
        <v>Gripen</v>
      </c>
      <c r="E58" t="str">
        <v>D</v>
      </c>
      <c r="F58">
        <v>3</v>
      </c>
      <c r="G58" t="str">
        <v>itv</v>
      </c>
      <c r="H58" t="str">
        <v>P</v>
      </c>
      <c r="I58">
        <v>50</v>
      </c>
      <c r="J58">
        <v>330</v>
      </c>
      <c r="K58">
        <v>260</v>
      </c>
      <c r="L58">
        <v>325</v>
      </c>
      <c r="M58">
        <v>0</v>
      </c>
      <c r="N58">
        <v>1962.1117999999999</v>
      </c>
      <c r="O58">
        <v>0</v>
      </c>
    </row>
    <row r="59" spans="1:15" x14ac:dyDescent="0.3">
      <c r="A59" t="str">
        <v>A330 MRTT</v>
      </c>
      <c r="B59" t="str">
        <v>KC-30A</v>
      </c>
      <c r="C59" t="str">
        <v>United Kingdom</v>
      </c>
      <c r="D59" t="str">
        <v>EF-2000</v>
      </c>
      <c r="E59" t="str">
        <v>Typhoon</v>
      </c>
      <c r="F59">
        <v>3</v>
      </c>
      <c r="G59" t="str">
        <v>itv</v>
      </c>
      <c r="H59" t="str">
        <v>P</v>
      </c>
      <c r="I59">
        <v>20</v>
      </c>
      <c r="J59">
        <v>350</v>
      </c>
      <c r="K59">
        <v>260</v>
      </c>
      <c r="L59">
        <v>325</v>
      </c>
      <c r="M59">
        <v>0</v>
      </c>
      <c r="N59">
        <v>2425.0819999999999</v>
      </c>
      <c r="O59">
        <v>0</v>
      </c>
    </row>
    <row r="60" spans="1:15" x14ac:dyDescent="0.3">
      <c r="A60" t="str">
        <v>A330 MRTT</v>
      </c>
      <c r="B60" t="str">
        <v>KC-30A</v>
      </c>
      <c r="C60" t="str">
        <v>United Kingdom</v>
      </c>
      <c r="D60" t="str">
        <v>F-35</v>
      </c>
      <c r="E60" t="str">
        <v>B</v>
      </c>
      <c r="F60">
        <v>3</v>
      </c>
      <c r="G60" t="str">
        <v>itv</v>
      </c>
      <c r="H60" t="str">
        <v>P</v>
      </c>
      <c r="I60">
        <v>150</v>
      </c>
      <c r="J60">
        <v>350</v>
      </c>
      <c r="K60">
        <v>260</v>
      </c>
      <c r="L60">
        <v>300</v>
      </c>
      <c r="M60">
        <v>0</v>
      </c>
      <c r="N60">
        <v>1984.1579999999999</v>
      </c>
      <c r="O60">
        <v>0</v>
      </c>
    </row>
    <row r="61" spans="1:15" x14ac:dyDescent="0.3">
      <c r="A61" t="str">
        <v>A330 MRTT</v>
      </c>
      <c r="B61" t="str">
        <v>KC-30A</v>
      </c>
      <c r="C61" t="str">
        <v>USA</v>
      </c>
      <c r="D61" t="str">
        <v>B-1</v>
      </c>
      <c r="E61" t="str">
        <v>B</v>
      </c>
      <c r="F61">
        <v>3</v>
      </c>
      <c r="G61">
        <v>3</v>
      </c>
      <c r="H61" t="str">
        <v>B</v>
      </c>
      <c r="I61">
        <v>100</v>
      </c>
      <c r="J61">
        <v>270</v>
      </c>
      <c r="K61">
        <v>290</v>
      </c>
      <c r="L61">
        <v>315</v>
      </c>
      <c r="M61">
        <v>0</v>
      </c>
      <c r="N61">
        <v>7936.6319999999996</v>
      </c>
      <c r="O61">
        <v>0</v>
      </c>
    </row>
    <row r="62" spans="1:15" x14ac:dyDescent="0.3">
      <c r="A62" t="str">
        <v>A330 MRTT</v>
      </c>
      <c r="B62" t="str">
        <v>KC-30A</v>
      </c>
      <c r="C62" t="str">
        <v>USA</v>
      </c>
      <c r="D62" t="str">
        <v>A-10</v>
      </c>
      <c r="E62" t="str">
        <v>C</v>
      </c>
      <c r="F62">
        <v>3</v>
      </c>
      <c r="G62">
        <v>3</v>
      </c>
      <c r="H62" t="str">
        <v>B</v>
      </c>
      <c r="I62">
        <v>100</v>
      </c>
      <c r="J62">
        <v>200</v>
      </c>
      <c r="K62">
        <v>190</v>
      </c>
      <c r="L62">
        <v>240</v>
      </c>
      <c r="M62">
        <v>0</v>
      </c>
      <c r="N62">
        <v>2645.5439999999999</v>
      </c>
      <c r="O62">
        <v>0</v>
      </c>
    </row>
    <row r="63" spans="1:15" x14ac:dyDescent="0.3">
      <c r="A63" t="str">
        <v>A330 MRTT</v>
      </c>
      <c r="B63" t="str">
        <v>KC-30A</v>
      </c>
      <c r="C63" t="str">
        <v>USA</v>
      </c>
      <c r="D63" t="str">
        <v>F-16</v>
      </c>
      <c r="E63" t="str">
        <v>C</v>
      </c>
      <c r="F63">
        <v>3</v>
      </c>
      <c r="G63" t="str">
        <v>itv</v>
      </c>
      <c r="H63" t="str">
        <v>B</v>
      </c>
      <c r="I63">
        <v>80</v>
      </c>
      <c r="J63">
        <v>300</v>
      </c>
      <c r="K63">
        <v>265</v>
      </c>
      <c r="L63">
        <v>315</v>
      </c>
      <c r="M63">
        <v>0</v>
      </c>
      <c r="N63">
        <v>3086.4679999999998</v>
      </c>
      <c r="O63" t="str">
        <v>KC-30A is not cleared to refuel USAF F-16D</v>
      </c>
    </row>
    <row r="64" spans="1:15" x14ac:dyDescent="0.3">
      <c r="A64" t="str">
        <v>A330 MRTT</v>
      </c>
      <c r="B64" t="str">
        <v>KC-30A</v>
      </c>
      <c r="C64" t="str">
        <v>USA</v>
      </c>
      <c r="D64" t="str">
        <v>F-22</v>
      </c>
      <c r="E64" t="str">
        <v>A</v>
      </c>
      <c r="F64">
        <v>3</v>
      </c>
      <c r="G64" t="str">
        <v>itv</v>
      </c>
      <c r="H64" t="str">
        <v>B</v>
      </c>
      <c r="I64">
        <v>80</v>
      </c>
      <c r="J64">
        <v>350</v>
      </c>
      <c r="K64">
        <v>270</v>
      </c>
      <c r="L64">
        <v>315</v>
      </c>
      <c r="M64">
        <v>0</v>
      </c>
      <c r="N64">
        <v>1763.6959999999999</v>
      </c>
      <c r="O64">
        <v>0</v>
      </c>
    </row>
    <row r="65" spans="1:15" x14ac:dyDescent="0.3">
      <c r="A65" t="str">
        <v>A330 MRTT</v>
      </c>
      <c r="B65" t="str">
        <v>KC-30A</v>
      </c>
      <c r="C65" t="str">
        <v>USA</v>
      </c>
      <c r="D65" t="str">
        <v>F-35</v>
      </c>
      <c r="E65" t="str">
        <v>A</v>
      </c>
      <c r="F65">
        <v>3</v>
      </c>
      <c r="G65" t="str">
        <v>itv</v>
      </c>
      <c r="H65" t="str">
        <v>B</v>
      </c>
      <c r="I65">
        <v>80</v>
      </c>
      <c r="J65">
        <v>350</v>
      </c>
      <c r="K65">
        <v>265</v>
      </c>
      <c r="L65">
        <v>325</v>
      </c>
      <c r="M65">
        <v>0</v>
      </c>
      <c r="N65">
        <v>2204.62</v>
      </c>
      <c r="O65">
        <v>0</v>
      </c>
    </row>
    <row r="66" spans="1:15" x14ac:dyDescent="0.3">
      <c r="A66" t="str">
        <v>A330 MRTT</v>
      </c>
      <c r="B66" t="str">
        <v>KC-30A</v>
      </c>
      <c r="C66" t="str">
        <v>USA</v>
      </c>
      <c r="D66" t="str">
        <v>B-2</v>
      </c>
      <c r="E66" t="str">
        <v>A</v>
      </c>
      <c r="F66">
        <v>3</v>
      </c>
      <c r="G66" t="str">
        <v>itv</v>
      </c>
      <c r="H66" t="str">
        <v>B</v>
      </c>
      <c r="I66">
        <v>100</v>
      </c>
      <c r="J66">
        <v>270</v>
      </c>
      <c r="K66">
        <v>250</v>
      </c>
      <c r="L66">
        <v>270</v>
      </c>
      <c r="M66">
        <v>0</v>
      </c>
      <c r="N66">
        <v>7936.6319999999996</v>
      </c>
      <c r="O66">
        <v>0</v>
      </c>
    </row>
    <row r="67" spans="1:15" x14ac:dyDescent="0.3">
      <c r="A67" t="str">
        <v>A330 MRTT</v>
      </c>
      <c r="B67" t="str">
        <v>KC-30A</v>
      </c>
      <c r="C67" t="str">
        <v>USA</v>
      </c>
      <c r="D67" t="str">
        <v>B-52</v>
      </c>
      <c r="E67" t="str">
        <v>H</v>
      </c>
      <c r="F67">
        <v>2</v>
      </c>
      <c r="G67" t="str">
        <v>itv</v>
      </c>
      <c r="H67" t="str">
        <v>B</v>
      </c>
      <c r="I67">
        <v>150</v>
      </c>
      <c r="J67">
        <v>300</v>
      </c>
      <c r="K67">
        <v>250</v>
      </c>
      <c r="L67">
        <v>290</v>
      </c>
      <c r="M67">
        <v>0</v>
      </c>
      <c r="N67">
        <v>6172.9359999999997</v>
      </c>
      <c r="O67">
        <v>0</v>
      </c>
    </row>
    <row r="68" spans="1:15" x14ac:dyDescent="0.3">
      <c r="A68" t="str">
        <v>A330 MRTT</v>
      </c>
      <c r="B68" t="str">
        <v>KC-30A</v>
      </c>
      <c r="C68" t="str">
        <v>USA</v>
      </c>
      <c r="D68" t="str">
        <v>C-17</v>
      </c>
      <c r="E68" t="str">
        <v>A</v>
      </c>
      <c r="F68">
        <v>3</v>
      </c>
      <c r="G68" t="str">
        <v>itv</v>
      </c>
      <c r="H68" t="str">
        <v>B</v>
      </c>
      <c r="I68">
        <v>150</v>
      </c>
      <c r="J68">
        <v>280</v>
      </c>
      <c r="K68">
        <v>265</v>
      </c>
      <c r="L68">
        <v>285</v>
      </c>
      <c r="M68">
        <v>0</v>
      </c>
      <c r="N68">
        <v>7936.6319999999996</v>
      </c>
      <c r="O68">
        <v>0</v>
      </c>
    </row>
    <row r="69" spans="1:15" x14ac:dyDescent="0.3">
      <c r="A69" t="str">
        <v>A330 MRTT</v>
      </c>
      <c r="B69" t="str">
        <v>KC-30A</v>
      </c>
      <c r="C69" t="str">
        <v>USMC</v>
      </c>
      <c r="D69" t="str">
        <v>F/A-18</v>
      </c>
      <c r="E69" t="str">
        <v>A</v>
      </c>
      <c r="F69">
        <v>3</v>
      </c>
      <c r="G69" t="str">
        <v>itv</v>
      </c>
      <c r="H69" t="str">
        <v>P</v>
      </c>
      <c r="I69">
        <v>150</v>
      </c>
      <c r="J69">
        <v>350</v>
      </c>
      <c r="K69">
        <v>250</v>
      </c>
      <c r="L69">
        <v>300</v>
      </c>
      <c r="M69">
        <v>0</v>
      </c>
      <c r="N69">
        <v>2425.0819999999999</v>
      </c>
      <c r="O69">
        <v>0</v>
      </c>
    </row>
    <row r="70" spans="1:15" x14ac:dyDescent="0.3">
      <c r="A70" t="str">
        <v>A330 MRTT</v>
      </c>
      <c r="B70" t="str">
        <v>KC-30A</v>
      </c>
      <c r="C70" t="str">
        <v>USMC</v>
      </c>
      <c r="D70" t="str">
        <v>F/A-18</v>
      </c>
      <c r="E70" t="str">
        <v>C</v>
      </c>
      <c r="F70">
        <v>3</v>
      </c>
      <c r="G70" t="str">
        <v>itv</v>
      </c>
      <c r="H70" t="str">
        <v>P</v>
      </c>
      <c r="I70">
        <v>150</v>
      </c>
      <c r="J70">
        <v>350</v>
      </c>
      <c r="K70">
        <v>250</v>
      </c>
      <c r="L70">
        <v>300</v>
      </c>
      <c r="M70">
        <v>0</v>
      </c>
      <c r="N70">
        <v>2425.0819999999999</v>
      </c>
      <c r="O70">
        <v>0</v>
      </c>
    </row>
    <row r="71" spans="1:15" x14ac:dyDescent="0.3">
      <c r="A71" t="str">
        <v>A330 MRTT</v>
      </c>
      <c r="B71" t="str">
        <v>KC-30A</v>
      </c>
      <c r="C71" t="str">
        <v>USMC</v>
      </c>
      <c r="D71" t="str">
        <v>F/A-18</v>
      </c>
      <c r="E71" t="str">
        <v>D</v>
      </c>
      <c r="F71">
        <v>3</v>
      </c>
      <c r="G71" t="str">
        <v>itv</v>
      </c>
      <c r="H71" t="str">
        <v>P</v>
      </c>
      <c r="I71">
        <v>150</v>
      </c>
      <c r="J71">
        <v>350</v>
      </c>
      <c r="K71">
        <v>250</v>
      </c>
      <c r="L71">
        <v>300</v>
      </c>
      <c r="M71">
        <v>0</v>
      </c>
      <c r="N71">
        <v>2425.0819999999999</v>
      </c>
      <c r="O71">
        <v>0</v>
      </c>
    </row>
    <row r="72" spans="1:15" x14ac:dyDescent="0.3">
      <c r="A72" t="str">
        <v>A330 MRTT</v>
      </c>
      <c r="B72" t="str">
        <v>KC-30A</v>
      </c>
      <c r="C72" t="str">
        <v>USMC</v>
      </c>
      <c r="D72" t="str">
        <v>F-35</v>
      </c>
      <c r="E72" t="str">
        <v>B</v>
      </c>
      <c r="F72">
        <v>3</v>
      </c>
      <c r="G72" t="str">
        <v>itv</v>
      </c>
      <c r="H72" t="str">
        <v>P</v>
      </c>
      <c r="I72">
        <v>150</v>
      </c>
      <c r="J72">
        <v>350</v>
      </c>
      <c r="K72">
        <v>260</v>
      </c>
      <c r="L72">
        <v>300</v>
      </c>
      <c r="M72">
        <v>0</v>
      </c>
      <c r="N72">
        <v>1984.1579999999999</v>
      </c>
      <c r="O72">
        <v>0</v>
      </c>
    </row>
    <row r="73" spans="1:15" x14ac:dyDescent="0.3">
      <c r="A73" t="str">
        <v>A330 MRTT</v>
      </c>
      <c r="B73" t="str">
        <v>KC-30A</v>
      </c>
      <c r="C73" t="str">
        <v>USMC</v>
      </c>
      <c r="D73" t="str">
        <v>F-35</v>
      </c>
      <c r="E73" t="str">
        <v>C</v>
      </c>
      <c r="F73">
        <v>3</v>
      </c>
      <c r="G73" t="str">
        <v>itv</v>
      </c>
      <c r="H73" t="str">
        <v>P</v>
      </c>
      <c r="I73">
        <v>150</v>
      </c>
      <c r="J73">
        <v>350</v>
      </c>
      <c r="K73">
        <v>260</v>
      </c>
      <c r="L73">
        <v>300</v>
      </c>
      <c r="M73">
        <v>0</v>
      </c>
      <c r="N73">
        <v>1984.1579999999999</v>
      </c>
      <c r="O73">
        <v>0</v>
      </c>
    </row>
    <row r="74" spans="1:15" x14ac:dyDescent="0.3">
      <c r="A74" t="str">
        <v>A330 MRTT</v>
      </c>
      <c r="B74" t="str">
        <v>KC-30A</v>
      </c>
      <c r="C74" t="str">
        <v>USN</v>
      </c>
      <c r="D74" t="str">
        <v>P-8</v>
      </c>
      <c r="E74" t="str">
        <v>A</v>
      </c>
      <c r="F74">
        <v>3</v>
      </c>
      <c r="G74" t="str">
        <v>itv</v>
      </c>
      <c r="H74" t="str">
        <v>B</v>
      </c>
      <c r="I74">
        <v>80</v>
      </c>
      <c r="J74">
        <v>280</v>
      </c>
      <c r="K74">
        <v>250</v>
      </c>
      <c r="L74">
        <v>300</v>
      </c>
      <c r="M74">
        <v>0</v>
      </c>
      <c r="N74">
        <v>4188.7779999999993</v>
      </c>
      <c r="O74">
        <v>0</v>
      </c>
    </row>
    <row r="75" spans="1:15" x14ac:dyDescent="0.3">
      <c r="A75" t="str">
        <v>A330 MRTT</v>
      </c>
      <c r="B75" t="str">
        <v>KC-30A</v>
      </c>
      <c r="C75" t="str">
        <v>USN</v>
      </c>
      <c r="D75" t="str">
        <v>F/A-18</v>
      </c>
      <c r="E75" t="str">
        <v>E</v>
      </c>
      <c r="F75">
        <v>3</v>
      </c>
      <c r="G75" t="str">
        <v>itv</v>
      </c>
      <c r="H75" t="str">
        <v>P</v>
      </c>
      <c r="I75">
        <v>150</v>
      </c>
      <c r="J75">
        <v>350</v>
      </c>
      <c r="K75">
        <v>250</v>
      </c>
      <c r="L75">
        <v>300</v>
      </c>
      <c r="M75">
        <v>0</v>
      </c>
      <c r="N75">
        <v>2425.0819999999999</v>
      </c>
      <c r="O75">
        <v>0</v>
      </c>
    </row>
    <row r="76" spans="1:15" x14ac:dyDescent="0.3">
      <c r="A76" t="str">
        <v>A330 MRTT</v>
      </c>
      <c r="B76" t="str">
        <v>KC-30A</v>
      </c>
      <c r="C76" t="str">
        <v>USN</v>
      </c>
      <c r="D76" t="str">
        <v>F/A-18</v>
      </c>
      <c r="E76" t="str">
        <v>F</v>
      </c>
      <c r="F76">
        <v>3</v>
      </c>
      <c r="G76" t="str">
        <v>itv</v>
      </c>
      <c r="H76" t="str">
        <v>P</v>
      </c>
      <c r="I76">
        <v>150</v>
      </c>
      <c r="J76">
        <v>350</v>
      </c>
      <c r="K76">
        <v>250</v>
      </c>
      <c r="L76">
        <v>300</v>
      </c>
      <c r="M76">
        <v>0</v>
      </c>
      <c r="N76">
        <v>2425.0819999999999</v>
      </c>
      <c r="O76">
        <v>0</v>
      </c>
    </row>
    <row r="77" spans="1:15" x14ac:dyDescent="0.3">
      <c r="A77" t="str">
        <v>A330 MRTT</v>
      </c>
      <c r="B77" t="str">
        <v>KC-30A</v>
      </c>
      <c r="C77" t="str">
        <v>USN</v>
      </c>
      <c r="D77" t="str">
        <v>EA-18</v>
      </c>
      <c r="E77" t="str">
        <v>G</v>
      </c>
      <c r="F77">
        <v>3</v>
      </c>
      <c r="G77" t="str">
        <v>itv</v>
      </c>
      <c r="H77" t="str">
        <v>P</v>
      </c>
      <c r="I77">
        <v>150</v>
      </c>
      <c r="J77">
        <v>350</v>
      </c>
      <c r="K77">
        <v>250</v>
      </c>
      <c r="L77">
        <v>300</v>
      </c>
      <c r="M77">
        <v>0</v>
      </c>
      <c r="N77">
        <v>2425.0819999999999</v>
      </c>
      <c r="O77">
        <v>0</v>
      </c>
    </row>
    <row r="78" spans="1:15" x14ac:dyDescent="0.3">
      <c r="A78" t="str">
        <v>A330 MRTT</v>
      </c>
      <c r="B78" t="str">
        <v>KC-30A</v>
      </c>
      <c r="C78" t="str">
        <v>USN</v>
      </c>
      <c r="D78" t="str">
        <v>F-35</v>
      </c>
      <c r="E78" t="str">
        <v>C</v>
      </c>
      <c r="F78">
        <v>3</v>
      </c>
      <c r="G78" t="str">
        <v>itv</v>
      </c>
      <c r="H78" t="str">
        <v>P</v>
      </c>
      <c r="I78">
        <v>150</v>
      </c>
      <c r="J78">
        <v>350</v>
      </c>
      <c r="K78">
        <v>260</v>
      </c>
      <c r="L78">
        <v>300</v>
      </c>
      <c r="M78">
        <v>0</v>
      </c>
      <c r="N78">
        <v>1984.1579999999999</v>
      </c>
      <c r="O78">
        <v>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2CFC-B0FA-45AF-A7FE-D15E7792D6BC}">
  <dimension ref="A2:AF4"/>
  <sheetViews>
    <sheetView zoomScale="48" workbookViewId="0">
      <selection activeCell="A2" sqref="A2"/>
    </sheetView>
  </sheetViews>
  <sheetFormatPr defaultRowHeight="14.4" x14ac:dyDescent="0.3"/>
  <sheetData>
    <row r="2" spans="1:32" x14ac:dyDescent="0.3">
      <c r="A2" t="str" cm="1">
        <f t="array" ref="A2:O3">_xlfn.SORTBY(
    _xlfn._xlws.FILTER(Specifications!B:P, Specifications!A:A="Canada", ""),
    _xlfn._xlws.FILTER(Specifications!B:B, Specifications!A:A="Canada"), 1,
    _xlfn._xlws.FILTER(Specifications!D:D, Specifications!A:A="Canada"), 1
)</f>
        <v>CC-150</v>
      </c>
      <c r="B2" t="str">
        <v>T</v>
      </c>
      <c r="C2" t="str">
        <v>Australia</v>
      </c>
      <c r="D2" t="str">
        <v>F/A-18</v>
      </c>
      <c r="E2" t="str">
        <v>F</v>
      </c>
      <c r="F2" t="str">
        <v>itv</v>
      </c>
      <c r="G2">
        <v>3</v>
      </c>
      <c r="H2" t="str">
        <v>P</v>
      </c>
      <c r="I2">
        <v>100</v>
      </c>
      <c r="J2">
        <v>250</v>
      </c>
      <c r="K2">
        <v>230</v>
      </c>
      <c r="L2">
        <v>270</v>
      </c>
      <c r="M2">
        <v>0</v>
      </c>
      <c r="N2">
        <v>0</v>
      </c>
      <c r="O2">
        <v>0</v>
      </c>
    </row>
    <row r="3" spans="1:32" x14ac:dyDescent="0.3">
      <c r="A3" t="str">
        <v>CC-150</v>
      </c>
      <c r="B3" t="str">
        <v>T</v>
      </c>
      <c r="C3" t="str">
        <v>Australia</v>
      </c>
      <c r="D3" t="str">
        <v>EA-18</v>
      </c>
      <c r="E3" t="str">
        <v>G</v>
      </c>
      <c r="F3" t="str">
        <v>itv</v>
      </c>
      <c r="G3">
        <v>3</v>
      </c>
      <c r="H3" t="str">
        <v>P</v>
      </c>
      <c r="I3">
        <v>100</v>
      </c>
      <c r="J3">
        <v>250</v>
      </c>
      <c r="K3">
        <v>230</v>
      </c>
      <c r="L3">
        <v>270</v>
      </c>
      <c r="M3">
        <v>0</v>
      </c>
      <c r="N3">
        <v>0</v>
      </c>
      <c r="O3">
        <v>0</v>
      </c>
    </row>
    <row r="4" spans="1:32" ht="18" x14ac:dyDescent="0.35">
      <c r="R4" s="2" t="s">
        <v>25</v>
      </c>
      <c r="S4" s="2" t="s">
        <v>13</v>
      </c>
      <c r="T4" s="2" t="s">
        <v>15</v>
      </c>
      <c r="U4" s="2" t="s">
        <v>26</v>
      </c>
      <c r="V4" s="2" t="s">
        <v>14</v>
      </c>
      <c r="W4" s="2" t="s">
        <v>18</v>
      </c>
      <c r="X4" s="2" t="s">
        <v>19</v>
      </c>
      <c r="Y4" s="2" t="s">
        <v>126</v>
      </c>
      <c r="Z4" s="2" t="s">
        <v>16</v>
      </c>
      <c r="AA4" s="2" t="s">
        <v>7</v>
      </c>
      <c r="AB4" s="2" t="s">
        <v>8</v>
      </c>
      <c r="AC4" s="2" t="s">
        <v>9</v>
      </c>
      <c r="AD4" s="2" t="s">
        <v>128</v>
      </c>
      <c r="AE4" s="2" t="s">
        <v>6</v>
      </c>
      <c r="AF4" s="2" t="s">
        <v>10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49B34-536F-499C-8EE4-5E8F7E35EDB0}">
  <dimension ref="A2:O19"/>
  <sheetViews>
    <sheetView workbookViewId="0">
      <selection activeCell="A2" sqref="A2"/>
    </sheetView>
  </sheetViews>
  <sheetFormatPr defaultRowHeight="14.4" x14ac:dyDescent="0.3"/>
  <sheetData>
    <row r="2" spans="1:15" x14ac:dyDescent="0.3">
      <c r="A2" t="str" cm="1">
        <f t="array" ref="A2:O19">_xlfn.SORTBY(
    _xlfn._xlws.FILTER(Specifications!B:P, Specifications!A:A="France", ""),
    _xlfn._xlws.FILTER(Specifications!B:B, Specifications!A:A="France"), 1,
    _xlfn._xlws.FILTER(Specifications!D:D, Specifications!A:A="France"), 1
)</f>
        <v>A330 MRTT</v>
      </c>
      <c r="B2" t="str">
        <v>Phénix</v>
      </c>
      <c r="C2" t="str">
        <v>Australia</v>
      </c>
      <c r="D2" t="str">
        <v>C-17</v>
      </c>
      <c r="E2" t="str">
        <v>A</v>
      </c>
      <c r="F2" t="str">
        <v>itv</v>
      </c>
      <c r="G2">
        <v>3</v>
      </c>
      <c r="H2" t="str">
        <v>B</v>
      </c>
      <c r="I2">
        <v>150</v>
      </c>
      <c r="J2">
        <v>280</v>
      </c>
      <c r="K2">
        <v>265</v>
      </c>
      <c r="L2">
        <v>285</v>
      </c>
      <c r="M2">
        <v>0</v>
      </c>
      <c r="N2">
        <v>0</v>
      </c>
      <c r="O2">
        <v>0</v>
      </c>
    </row>
    <row r="3" spans="1:15" x14ac:dyDescent="0.3">
      <c r="A3" t="str">
        <v>A330 MRTT</v>
      </c>
      <c r="B3" t="str">
        <v>Phénix</v>
      </c>
      <c r="C3" t="str">
        <v>Australia</v>
      </c>
      <c r="D3" t="str">
        <v>E-7</v>
      </c>
      <c r="E3" t="str">
        <v>A</v>
      </c>
      <c r="F3" t="str">
        <v>itv</v>
      </c>
      <c r="G3">
        <v>3</v>
      </c>
      <c r="H3" t="str">
        <v>B</v>
      </c>
      <c r="I3">
        <v>200</v>
      </c>
      <c r="J3">
        <v>300</v>
      </c>
      <c r="K3">
        <v>250</v>
      </c>
      <c r="L3">
        <v>290</v>
      </c>
      <c r="M3">
        <v>0</v>
      </c>
      <c r="N3">
        <v>0</v>
      </c>
      <c r="O3">
        <v>0</v>
      </c>
    </row>
    <row r="4" spans="1:15" x14ac:dyDescent="0.3">
      <c r="A4" t="str">
        <v>A330 MRTT</v>
      </c>
      <c r="B4" t="str">
        <v>Phénix</v>
      </c>
      <c r="C4" t="str">
        <v>Australia</v>
      </c>
      <c r="D4" t="str">
        <v>EA-18</v>
      </c>
      <c r="E4" t="str">
        <v>G</v>
      </c>
      <c r="F4" t="str">
        <v>itv</v>
      </c>
      <c r="G4">
        <v>3</v>
      </c>
      <c r="H4" t="str">
        <v>P</v>
      </c>
      <c r="I4">
        <v>15</v>
      </c>
      <c r="J4">
        <v>350</v>
      </c>
      <c r="K4">
        <v>250</v>
      </c>
      <c r="L4">
        <v>300</v>
      </c>
      <c r="M4">
        <v>0</v>
      </c>
      <c r="N4">
        <v>0</v>
      </c>
      <c r="O4" t="str">
        <v>given in 1500 ft</v>
      </c>
    </row>
    <row r="5" spans="1:15" x14ac:dyDescent="0.3">
      <c r="A5" t="str">
        <v>A330 MRTT</v>
      </c>
      <c r="B5" t="str">
        <v>Phénix</v>
      </c>
      <c r="C5" t="str">
        <v>Australia</v>
      </c>
      <c r="D5" t="str">
        <v>F/A-18</v>
      </c>
      <c r="E5" t="str">
        <v>F</v>
      </c>
      <c r="F5" t="str">
        <v>itv</v>
      </c>
      <c r="G5">
        <v>3</v>
      </c>
      <c r="H5" t="str">
        <v>P</v>
      </c>
      <c r="I5">
        <v>15</v>
      </c>
      <c r="J5">
        <v>350</v>
      </c>
      <c r="K5">
        <v>250</v>
      </c>
      <c r="L5">
        <v>300</v>
      </c>
      <c r="M5">
        <v>0</v>
      </c>
      <c r="N5">
        <v>0</v>
      </c>
      <c r="O5" t="str">
        <v>given in 1500 ft</v>
      </c>
    </row>
    <row r="6" spans="1:15" x14ac:dyDescent="0.3">
      <c r="A6" t="str">
        <v>A330 MRTT</v>
      </c>
      <c r="B6" t="str">
        <v>Phénix</v>
      </c>
      <c r="C6" t="str">
        <v>Australia</v>
      </c>
      <c r="D6" t="str">
        <v>F-35</v>
      </c>
      <c r="E6" t="str">
        <v>A</v>
      </c>
      <c r="F6" t="str">
        <v>itv</v>
      </c>
      <c r="G6">
        <v>3</v>
      </c>
      <c r="H6" t="str">
        <v>B</v>
      </c>
      <c r="I6">
        <v>80</v>
      </c>
      <c r="J6">
        <v>350</v>
      </c>
      <c r="K6">
        <v>265</v>
      </c>
      <c r="L6">
        <v>325</v>
      </c>
      <c r="M6">
        <v>0</v>
      </c>
      <c r="N6">
        <v>0</v>
      </c>
      <c r="O6">
        <v>0</v>
      </c>
    </row>
    <row r="7" spans="1:15" x14ac:dyDescent="0.3">
      <c r="A7" t="str">
        <v>A330 MRTT</v>
      </c>
      <c r="B7" t="str">
        <v>Phénix</v>
      </c>
      <c r="C7" t="str">
        <v>Australia</v>
      </c>
      <c r="D7" t="str">
        <v>A330 MRTT</v>
      </c>
      <c r="E7" t="str">
        <v>KC-30A</v>
      </c>
      <c r="F7" t="str">
        <v>itv</v>
      </c>
      <c r="G7">
        <v>3</v>
      </c>
      <c r="H7" t="str">
        <v>B</v>
      </c>
      <c r="I7">
        <v>150</v>
      </c>
      <c r="J7">
        <v>300</v>
      </c>
      <c r="K7">
        <v>250</v>
      </c>
      <c r="L7">
        <v>290</v>
      </c>
      <c r="M7">
        <v>0</v>
      </c>
      <c r="N7">
        <v>0</v>
      </c>
      <c r="O7">
        <v>0</v>
      </c>
    </row>
    <row r="8" spans="1:15" x14ac:dyDescent="0.3">
      <c r="A8" t="str">
        <v>A330 MRTT</v>
      </c>
      <c r="B8" t="str">
        <v>Phénix</v>
      </c>
      <c r="C8" t="str">
        <v>Australia</v>
      </c>
      <c r="D8" t="str">
        <v>P-8</v>
      </c>
      <c r="E8" t="str">
        <v>A</v>
      </c>
      <c r="F8" t="str">
        <v>itv</v>
      </c>
      <c r="G8">
        <v>3</v>
      </c>
      <c r="H8" t="str">
        <v>B</v>
      </c>
      <c r="I8">
        <v>80</v>
      </c>
      <c r="J8">
        <v>280</v>
      </c>
      <c r="K8">
        <v>250</v>
      </c>
      <c r="L8">
        <v>300</v>
      </c>
      <c r="M8">
        <v>0</v>
      </c>
      <c r="N8">
        <v>0</v>
      </c>
      <c r="O8">
        <v>0</v>
      </c>
    </row>
    <row r="9" spans="1:15" x14ac:dyDescent="0.3">
      <c r="A9" t="str">
        <v>C-135</v>
      </c>
      <c r="B9" t="str">
        <v>FR</v>
      </c>
      <c r="C9" t="str">
        <v>Australia</v>
      </c>
      <c r="D9" t="str">
        <v>E-7</v>
      </c>
      <c r="E9" t="str">
        <v>A</v>
      </c>
      <c r="F9" t="str">
        <v>itv</v>
      </c>
      <c r="G9">
        <v>3</v>
      </c>
      <c r="H9" t="str">
        <v>B</v>
      </c>
      <c r="I9">
        <v>200</v>
      </c>
      <c r="J9">
        <v>300</v>
      </c>
      <c r="K9">
        <v>250</v>
      </c>
      <c r="L9">
        <v>290</v>
      </c>
      <c r="M9">
        <v>0</v>
      </c>
      <c r="N9">
        <v>0</v>
      </c>
      <c r="O9">
        <v>0</v>
      </c>
    </row>
    <row r="10" spans="1:15" x14ac:dyDescent="0.3">
      <c r="A10" t="str">
        <v>C-135</v>
      </c>
      <c r="B10" t="str">
        <v>FR</v>
      </c>
      <c r="C10" t="str">
        <v>Australia</v>
      </c>
      <c r="D10" t="str">
        <v>F/A-18</v>
      </c>
      <c r="E10" t="str">
        <v>F</v>
      </c>
      <c r="F10" t="str">
        <v>itv</v>
      </c>
      <c r="G10">
        <v>3</v>
      </c>
      <c r="H10" t="str">
        <v>BDA</v>
      </c>
      <c r="I10">
        <v>100</v>
      </c>
      <c r="J10">
        <v>285</v>
      </c>
      <c r="K10">
        <v>200</v>
      </c>
      <c r="L10">
        <v>275</v>
      </c>
      <c r="M10">
        <v>0</v>
      </c>
      <c r="N10">
        <v>0</v>
      </c>
      <c r="O10">
        <v>0</v>
      </c>
    </row>
    <row r="11" spans="1:15" x14ac:dyDescent="0.3">
      <c r="A11" t="str">
        <v>C-135</v>
      </c>
      <c r="B11" t="str">
        <v>FR</v>
      </c>
      <c r="C11" t="str">
        <v>Australia</v>
      </c>
      <c r="D11" t="str">
        <v>F/A-18</v>
      </c>
      <c r="E11" t="str">
        <v>F</v>
      </c>
      <c r="F11" t="str">
        <v>itv</v>
      </c>
      <c r="G11">
        <v>3</v>
      </c>
      <c r="H11" t="str">
        <v>P</v>
      </c>
      <c r="I11">
        <v>100</v>
      </c>
      <c r="J11">
        <v>285</v>
      </c>
      <c r="K11">
        <v>200</v>
      </c>
      <c r="L11">
        <v>275</v>
      </c>
      <c r="M11">
        <v>0</v>
      </c>
      <c r="N11">
        <v>0</v>
      </c>
      <c r="O11">
        <v>0</v>
      </c>
    </row>
    <row r="12" spans="1:15" x14ac:dyDescent="0.3">
      <c r="A12" t="str">
        <v>C-135</v>
      </c>
      <c r="B12" t="str">
        <v>FR</v>
      </c>
      <c r="C12" t="str">
        <v>Australia</v>
      </c>
      <c r="D12" t="str">
        <v>EA-18</v>
      </c>
      <c r="E12" t="str">
        <v>G</v>
      </c>
      <c r="F12" t="str">
        <v>itv</v>
      </c>
      <c r="G12">
        <v>3</v>
      </c>
      <c r="H12" t="str">
        <v>BDA</v>
      </c>
      <c r="I12">
        <v>100</v>
      </c>
      <c r="J12">
        <v>285</v>
      </c>
      <c r="K12">
        <v>200</v>
      </c>
      <c r="L12">
        <v>275</v>
      </c>
      <c r="M12">
        <v>0</v>
      </c>
      <c r="N12">
        <v>0</v>
      </c>
      <c r="O12">
        <v>0</v>
      </c>
    </row>
    <row r="13" spans="1:15" x14ac:dyDescent="0.3">
      <c r="A13" t="str">
        <v>C-135</v>
      </c>
      <c r="B13" t="str">
        <v>FR</v>
      </c>
      <c r="C13" t="str">
        <v>Australia</v>
      </c>
      <c r="D13" t="str">
        <v>EA-18</v>
      </c>
      <c r="E13" t="str">
        <v>G</v>
      </c>
      <c r="F13" t="str">
        <v>itv</v>
      </c>
      <c r="G13">
        <v>3</v>
      </c>
      <c r="H13" t="str">
        <v>P</v>
      </c>
      <c r="I13">
        <v>100</v>
      </c>
      <c r="J13">
        <v>285</v>
      </c>
      <c r="K13">
        <v>200</v>
      </c>
      <c r="L13">
        <v>275</v>
      </c>
      <c r="M13">
        <v>0</v>
      </c>
      <c r="N13">
        <v>0</v>
      </c>
      <c r="O13">
        <v>0</v>
      </c>
    </row>
    <row r="14" spans="1:15" x14ac:dyDescent="0.3">
      <c r="A14" t="str">
        <v>C-135</v>
      </c>
      <c r="B14" t="str">
        <v>FR</v>
      </c>
      <c r="C14" t="str">
        <v>Australia</v>
      </c>
      <c r="D14" t="str">
        <v>P-8</v>
      </c>
      <c r="E14" t="str">
        <v>A</v>
      </c>
      <c r="F14" t="str">
        <v>itv</v>
      </c>
      <c r="G14">
        <v>3</v>
      </c>
      <c r="H14" t="str">
        <v>B</v>
      </c>
      <c r="I14">
        <v>80</v>
      </c>
      <c r="J14">
        <v>280</v>
      </c>
      <c r="K14">
        <v>250</v>
      </c>
      <c r="L14">
        <v>300</v>
      </c>
      <c r="M14">
        <v>0</v>
      </c>
      <c r="N14">
        <v>0</v>
      </c>
      <c r="O14">
        <v>0</v>
      </c>
    </row>
    <row r="15" spans="1:15" x14ac:dyDescent="0.3">
      <c r="A15" t="str">
        <v>KC-135</v>
      </c>
      <c r="B15" t="str">
        <v>RG</v>
      </c>
      <c r="C15" t="str">
        <v>Australia</v>
      </c>
      <c r="D15" t="str">
        <v>E-7</v>
      </c>
      <c r="E15" t="str">
        <v>A</v>
      </c>
      <c r="F15" t="str">
        <v>itv</v>
      </c>
      <c r="G15">
        <v>3</v>
      </c>
      <c r="H15" t="str">
        <v>B</v>
      </c>
      <c r="I15">
        <v>200</v>
      </c>
      <c r="J15">
        <v>300</v>
      </c>
      <c r="K15">
        <v>250</v>
      </c>
      <c r="L15">
        <v>290</v>
      </c>
      <c r="M15">
        <v>0</v>
      </c>
      <c r="N15">
        <v>0</v>
      </c>
      <c r="O15">
        <v>0</v>
      </c>
    </row>
    <row r="16" spans="1:15" x14ac:dyDescent="0.3">
      <c r="A16" t="str">
        <v>KC-135</v>
      </c>
      <c r="B16" t="str">
        <v>RG</v>
      </c>
      <c r="C16" t="str">
        <v>Australia</v>
      </c>
      <c r="D16" t="str">
        <v>F/A-18</v>
      </c>
      <c r="E16" t="str">
        <v>F</v>
      </c>
      <c r="F16" t="str">
        <v>itv</v>
      </c>
      <c r="G16">
        <v>3</v>
      </c>
      <c r="H16" t="str">
        <v>B</v>
      </c>
      <c r="I16">
        <v>100</v>
      </c>
      <c r="J16">
        <v>285</v>
      </c>
      <c r="K16">
        <v>200</v>
      </c>
      <c r="L16">
        <v>275</v>
      </c>
      <c r="M16">
        <v>0</v>
      </c>
      <c r="N16">
        <v>0</v>
      </c>
      <c r="O16">
        <v>0</v>
      </c>
    </row>
    <row r="17" spans="1:15" x14ac:dyDescent="0.3">
      <c r="A17" t="str">
        <v>KC-135</v>
      </c>
      <c r="B17" t="str">
        <v>RG</v>
      </c>
      <c r="C17" t="str">
        <v>Australia</v>
      </c>
      <c r="D17" t="str">
        <v>EA-18</v>
      </c>
      <c r="E17" t="str">
        <v>G</v>
      </c>
      <c r="F17" t="str">
        <v>itv</v>
      </c>
      <c r="G17">
        <v>3</v>
      </c>
      <c r="H17" t="str">
        <v>BDA</v>
      </c>
      <c r="I17">
        <v>100</v>
      </c>
      <c r="J17">
        <v>285</v>
      </c>
      <c r="K17">
        <v>200</v>
      </c>
      <c r="L17">
        <v>275</v>
      </c>
      <c r="M17">
        <v>0</v>
      </c>
      <c r="N17">
        <v>0</v>
      </c>
      <c r="O17">
        <v>0</v>
      </c>
    </row>
    <row r="18" spans="1:15" x14ac:dyDescent="0.3">
      <c r="A18" t="str">
        <v>KC-135</v>
      </c>
      <c r="B18" t="str">
        <v>RG</v>
      </c>
      <c r="C18" t="str">
        <v>Australia</v>
      </c>
      <c r="D18" t="str">
        <v>F-35</v>
      </c>
      <c r="E18" t="str">
        <v>A</v>
      </c>
      <c r="F18" t="str">
        <v>itv</v>
      </c>
      <c r="G18">
        <v>3</v>
      </c>
      <c r="H18" t="str">
        <v>B</v>
      </c>
      <c r="I18">
        <v>80</v>
      </c>
      <c r="J18">
        <v>350</v>
      </c>
      <c r="K18">
        <v>265</v>
      </c>
      <c r="L18">
        <v>325</v>
      </c>
      <c r="M18">
        <v>0</v>
      </c>
      <c r="N18">
        <v>0</v>
      </c>
      <c r="O18">
        <v>0</v>
      </c>
    </row>
    <row r="19" spans="1:15" x14ac:dyDescent="0.3">
      <c r="A19" t="str">
        <v>KC-135</v>
      </c>
      <c r="B19" t="str">
        <v>RG</v>
      </c>
      <c r="C19" t="str">
        <v>Australia</v>
      </c>
      <c r="D19" t="str">
        <v>P-8</v>
      </c>
      <c r="E19" t="str">
        <v>A</v>
      </c>
      <c r="F19" t="str">
        <v>itv</v>
      </c>
      <c r="G19">
        <v>3</v>
      </c>
      <c r="H19" t="str">
        <v>B</v>
      </c>
      <c r="I19">
        <v>80</v>
      </c>
      <c r="J19">
        <v>280</v>
      </c>
      <c r="K19">
        <v>250</v>
      </c>
      <c r="L19">
        <v>300</v>
      </c>
      <c r="M19">
        <v>0</v>
      </c>
      <c r="N19">
        <v>0</v>
      </c>
      <c r="O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E56A-ACEB-409A-B52F-FD46AB67A183}">
  <dimension ref="A2"/>
  <sheetViews>
    <sheetView workbookViewId="0">
      <selection activeCell="A2" sqref="A2"/>
    </sheetView>
  </sheetViews>
  <sheetFormatPr defaultRowHeight="14.4" x14ac:dyDescent="0.3"/>
  <cols>
    <col min="1" max="1" width="12.5546875" bestFit="1" customWidth="1"/>
  </cols>
  <sheetData>
    <row r="2" spans="1:1" x14ac:dyDescent="0.3">
      <c r="A2" t="e" cm="1" vm="1">
        <f t="array" ref="A2">_xlfn.SORTBY(
    _xlfn._xlws.FILTER(Specifications!B:P, Specifications!A:A="Germany", ""),
    _xlfn._xlws.FILTER(Specifications!B:B, Specifications!A:A="Germany"), 1,
    _xlfn._xlws.FILTER(Specifications!D:D, Specifications!A:A="Germany"), 1
)</f>
        <v>#VALUE!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0A5C-32B6-44B3-B70F-65B840273C32}">
  <dimension ref="A2:O8"/>
  <sheetViews>
    <sheetView workbookViewId="0">
      <selection activeCell="A2" sqref="A2"/>
    </sheetView>
  </sheetViews>
  <sheetFormatPr defaultRowHeight="14.4" x14ac:dyDescent="0.3"/>
  <sheetData>
    <row r="2" spans="1:15" x14ac:dyDescent="0.3">
      <c r="A2" t="str" cm="1">
        <f t="array" ref="A2:O8">_xlfn.SORTBY(
    _xlfn._xlws.FILTER(Specifications!B:P, Specifications!A:A="Italy", ""),
    _xlfn._xlws.FILTER(Specifications!B:B, Specifications!A:A="Italy"), 1,
    _xlfn._xlws.FILTER(Specifications!D:D, Specifications!A:A="Italy"), 1
)</f>
        <v>KC-130</v>
      </c>
      <c r="B2" t="str">
        <v>J</v>
      </c>
      <c r="C2" t="str">
        <v>Australia</v>
      </c>
      <c r="D2" t="str">
        <v>F/A-18</v>
      </c>
      <c r="E2" t="str">
        <v>F</v>
      </c>
      <c r="F2" t="str">
        <v>itv</v>
      </c>
      <c r="G2">
        <v>3</v>
      </c>
      <c r="H2" t="str">
        <v>P</v>
      </c>
      <c r="I2">
        <v>50</v>
      </c>
      <c r="J2">
        <v>250</v>
      </c>
      <c r="K2">
        <v>185</v>
      </c>
      <c r="L2">
        <v>250</v>
      </c>
      <c r="M2">
        <v>0</v>
      </c>
      <c r="N2">
        <v>0</v>
      </c>
      <c r="O2">
        <v>0</v>
      </c>
    </row>
    <row r="3" spans="1:15" x14ac:dyDescent="0.3">
      <c r="A3" t="str">
        <v>KC-130</v>
      </c>
      <c r="B3" t="str">
        <v>J</v>
      </c>
      <c r="C3" t="str">
        <v>Australia</v>
      </c>
      <c r="D3" t="str">
        <v>EA-18</v>
      </c>
      <c r="E3" t="str">
        <v>G</v>
      </c>
      <c r="F3" t="str">
        <v>itv</v>
      </c>
      <c r="G3">
        <v>3</v>
      </c>
      <c r="H3" t="str">
        <v>P</v>
      </c>
      <c r="I3">
        <v>50</v>
      </c>
      <c r="J3">
        <v>250</v>
      </c>
      <c r="K3">
        <v>185</v>
      </c>
      <c r="L3">
        <v>250</v>
      </c>
      <c r="M3">
        <v>0</v>
      </c>
      <c r="N3">
        <v>0</v>
      </c>
      <c r="O3">
        <v>0</v>
      </c>
    </row>
    <row r="4" spans="1:15" x14ac:dyDescent="0.3">
      <c r="A4" t="str">
        <v>KC-767</v>
      </c>
      <c r="B4" t="str">
        <v>A</v>
      </c>
      <c r="C4" t="str">
        <v>Australia</v>
      </c>
      <c r="D4" t="str">
        <v>F/A-18</v>
      </c>
      <c r="E4" t="str">
        <v>F</v>
      </c>
      <c r="F4" t="str">
        <v>itv</v>
      </c>
      <c r="G4">
        <v>3</v>
      </c>
      <c r="H4" t="str">
        <v>BDA</v>
      </c>
      <c r="I4">
        <v>150</v>
      </c>
      <c r="J4">
        <v>350</v>
      </c>
      <c r="K4">
        <v>225</v>
      </c>
      <c r="L4">
        <v>300</v>
      </c>
      <c r="M4">
        <v>0</v>
      </c>
      <c r="N4">
        <v>4005</v>
      </c>
      <c r="O4">
        <v>0</v>
      </c>
    </row>
    <row r="5" spans="1:15" x14ac:dyDescent="0.3">
      <c r="A5" t="str">
        <v>KC-767</v>
      </c>
      <c r="B5" t="str">
        <v>A</v>
      </c>
      <c r="C5" t="str">
        <v>Australia</v>
      </c>
      <c r="D5" t="str">
        <v>EA-18</v>
      </c>
      <c r="E5" t="str">
        <v>G</v>
      </c>
      <c r="F5" t="str">
        <v>itv</v>
      </c>
      <c r="G5">
        <v>3</v>
      </c>
      <c r="H5" t="str">
        <v>BDA</v>
      </c>
      <c r="I5">
        <v>150</v>
      </c>
      <c r="J5">
        <v>350</v>
      </c>
      <c r="K5">
        <v>225</v>
      </c>
      <c r="L5">
        <v>300</v>
      </c>
      <c r="M5">
        <v>0</v>
      </c>
      <c r="N5">
        <v>4005</v>
      </c>
      <c r="O5">
        <v>0</v>
      </c>
    </row>
    <row r="6" spans="1:15" x14ac:dyDescent="0.3">
      <c r="A6" t="str">
        <v>KC-767</v>
      </c>
      <c r="B6" t="str">
        <v>A</v>
      </c>
      <c r="C6" t="str">
        <v>Australia</v>
      </c>
      <c r="D6" t="str">
        <v>F/A-18</v>
      </c>
      <c r="E6" t="str">
        <v>F</v>
      </c>
      <c r="F6" t="str">
        <v>itv</v>
      </c>
      <c r="G6">
        <v>3</v>
      </c>
      <c r="H6" t="str">
        <v>P</v>
      </c>
      <c r="I6">
        <v>150</v>
      </c>
      <c r="J6">
        <v>350</v>
      </c>
      <c r="K6">
        <v>225</v>
      </c>
      <c r="L6">
        <v>300</v>
      </c>
      <c r="M6">
        <v>0</v>
      </c>
      <c r="N6">
        <v>2670</v>
      </c>
      <c r="O6">
        <v>0</v>
      </c>
    </row>
    <row r="7" spans="1:15" x14ac:dyDescent="0.3">
      <c r="A7" t="str">
        <v>KC-767</v>
      </c>
      <c r="B7" t="str">
        <v>A</v>
      </c>
      <c r="C7" t="str">
        <v>Australia</v>
      </c>
      <c r="D7" t="str">
        <v>EA-18</v>
      </c>
      <c r="E7" t="str">
        <v>G</v>
      </c>
      <c r="F7" t="str">
        <v>itv</v>
      </c>
      <c r="G7">
        <v>3</v>
      </c>
      <c r="H7" t="str">
        <v>P</v>
      </c>
      <c r="I7">
        <v>150</v>
      </c>
      <c r="J7">
        <v>350</v>
      </c>
      <c r="K7">
        <v>225</v>
      </c>
      <c r="L7">
        <v>300</v>
      </c>
      <c r="M7">
        <v>0</v>
      </c>
      <c r="N7">
        <v>2670</v>
      </c>
      <c r="O7">
        <v>0</v>
      </c>
    </row>
    <row r="8" spans="1:15" x14ac:dyDescent="0.3">
      <c r="A8" t="str">
        <v>KC-767</v>
      </c>
      <c r="B8" t="str">
        <v>A</v>
      </c>
      <c r="C8" t="str">
        <v>Australia</v>
      </c>
      <c r="D8" t="str">
        <v>F-35</v>
      </c>
      <c r="E8" t="str">
        <v>A</v>
      </c>
      <c r="F8" t="str">
        <v>itv</v>
      </c>
      <c r="G8">
        <v>3</v>
      </c>
      <c r="H8" t="str">
        <v>B</v>
      </c>
      <c r="I8">
        <v>100</v>
      </c>
      <c r="J8">
        <v>300</v>
      </c>
      <c r="K8">
        <v>265</v>
      </c>
      <c r="L8">
        <v>325</v>
      </c>
      <c r="M8">
        <v>0</v>
      </c>
      <c r="N8">
        <v>0</v>
      </c>
      <c r="O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E78A-0246-45B3-A9C5-9B88F898ECBF}">
  <dimension ref="A2:O3"/>
  <sheetViews>
    <sheetView workbookViewId="0">
      <selection activeCell="A2" sqref="A2"/>
    </sheetView>
  </sheetViews>
  <sheetFormatPr defaultRowHeight="14.4" x14ac:dyDescent="0.3"/>
  <sheetData>
    <row r="2" spans="1:15" x14ac:dyDescent="0.3">
      <c r="A2" t="str" cm="1">
        <f t="array" ref="A2:O3">_xlfn.SORTBY(
    _xlfn._xlws.FILTER(Specifications!B:P, Specifications!A:A="Japan", ""),
    _xlfn._xlws.FILTER(Specifications!B:B, Specifications!A:A="Japan"), 1,
    _xlfn._xlws.FILTER(Specifications!D:D, Specifications!A:A="Japan"), 1
)</f>
        <v>KC-46</v>
      </c>
      <c r="B2" t="str">
        <v>A</v>
      </c>
      <c r="C2" t="str">
        <v>Australia</v>
      </c>
      <c r="D2" t="str">
        <v>F-35</v>
      </c>
      <c r="E2" t="str">
        <v>A</v>
      </c>
      <c r="F2" t="str">
        <v>itv</v>
      </c>
      <c r="G2">
        <v>2</v>
      </c>
      <c r="H2" t="str">
        <v>B</v>
      </c>
      <c r="I2">
        <v>100</v>
      </c>
      <c r="J2">
        <v>350</v>
      </c>
      <c r="K2">
        <v>265</v>
      </c>
      <c r="L2">
        <v>325</v>
      </c>
      <c r="M2">
        <v>0</v>
      </c>
      <c r="N2">
        <v>0</v>
      </c>
      <c r="O2">
        <v>0</v>
      </c>
    </row>
    <row r="3" spans="1:15" x14ac:dyDescent="0.3">
      <c r="A3" t="str">
        <v>KC-767</v>
      </c>
      <c r="B3" t="str">
        <v>J</v>
      </c>
      <c r="C3" t="str">
        <v>Australia</v>
      </c>
      <c r="D3" t="str">
        <v>F-35</v>
      </c>
      <c r="E3" t="str">
        <v>A</v>
      </c>
      <c r="F3" t="str">
        <v>itv</v>
      </c>
      <c r="G3">
        <v>3</v>
      </c>
      <c r="H3" t="str">
        <v>B</v>
      </c>
      <c r="I3">
        <v>100</v>
      </c>
      <c r="J3">
        <v>300</v>
      </c>
      <c r="K3">
        <v>265</v>
      </c>
      <c r="L3">
        <v>325</v>
      </c>
      <c r="M3">
        <v>0</v>
      </c>
      <c r="N3">
        <v>0</v>
      </c>
      <c r="O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49C1-1CCE-4E1B-94C2-CD1013B8CC95}">
  <dimension ref="A2:O3"/>
  <sheetViews>
    <sheetView workbookViewId="0">
      <selection activeCell="A2" sqref="A2"/>
    </sheetView>
  </sheetViews>
  <sheetFormatPr defaultRowHeight="14.4" x14ac:dyDescent="0.3"/>
  <sheetData>
    <row r="2" spans="1:15" x14ac:dyDescent="0.3">
      <c r="A2" t="str" cm="1">
        <f t="array" ref="A2:O3">_xlfn.SORTBY(
    _xlfn._xlws.FILTER(Specifications!B:P, Specifications!A:A="Malaysia", ""),
    _xlfn._xlws.FILTER(Specifications!B:B, Specifications!A:A="Malaysia"), 1,
    _xlfn._xlws.FILTER(Specifications!D:D, Specifications!A:A="Malaysia"), 1
)</f>
        <v>A400</v>
      </c>
      <c r="B2" t="str">
        <v>M</v>
      </c>
      <c r="C2" t="str">
        <v>Australia</v>
      </c>
      <c r="D2" t="str">
        <v>F/A-18</v>
      </c>
      <c r="E2" t="str">
        <v>F</v>
      </c>
      <c r="F2" t="str">
        <v>itv</v>
      </c>
      <c r="G2">
        <v>1</v>
      </c>
      <c r="H2" t="str">
        <v>P</v>
      </c>
      <c r="I2">
        <v>150</v>
      </c>
      <c r="J2">
        <v>250</v>
      </c>
      <c r="K2">
        <v>230</v>
      </c>
      <c r="L2">
        <v>270</v>
      </c>
      <c r="M2">
        <v>0</v>
      </c>
      <c r="N2">
        <v>0</v>
      </c>
      <c r="O2" t="str">
        <v>WDE (Wing Dispensing Equipment) Only</v>
      </c>
    </row>
    <row r="3" spans="1:15" x14ac:dyDescent="0.3">
      <c r="A3" t="str">
        <v>A400</v>
      </c>
      <c r="B3" t="str">
        <v>M</v>
      </c>
      <c r="C3" t="str">
        <v>Australia</v>
      </c>
      <c r="D3" t="str">
        <v>EA-18</v>
      </c>
      <c r="E3" t="str">
        <v>G</v>
      </c>
      <c r="F3" t="str">
        <v>itv</v>
      </c>
      <c r="G3">
        <v>1</v>
      </c>
      <c r="H3" t="str">
        <v>P</v>
      </c>
      <c r="I3">
        <v>150</v>
      </c>
      <c r="J3">
        <v>250</v>
      </c>
      <c r="K3">
        <v>230</v>
      </c>
      <c r="L3">
        <v>270</v>
      </c>
      <c r="M3">
        <v>0</v>
      </c>
      <c r="N3">
        <v>0</v>
      </c>
      <c r="O3" t="str">
        <v>WDE (Wing Dispensing Equipment) Only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DD54A-32A9-4285-96CE-7E744486A947}">
  <dimension ref="A2:O8"/>
  <sheetViews>
    <sheetView workbookViewId="0">
      <selection activeCell="A2" sqref="A2"/>
    </sheetView>
  </sheetViews>
  <sheetFormatPr defaultRowHeight="14.4" x14ac:dyDescent="0.3"/>
  <sheetData>
    <row r="2" spans="1:15" x14ac:dyDescent="0.3">
      <c r="A2" t="str" cm="1">
        <f t="array" ref="A2:O8">_xlfn.SORTBY(
    _xlfn._xlws.FILTER(Specifications!B:P, Specifications!A:A="MMF", ""),
    _xlfn._xlws.FILTER(Specifications!B:B, Specifications!A:A="MMF"), 1,
    _xlfn._xlws.FILTER(Specifications!D:D, Specifications!A:A="MMF"), 1
)</f>
        <v>A330 MRTT</v>
      </c>
      <c r="B2" t="str">
        <v>KC-30M</v>
      </c>
      <c r="C2" t="str">
        <v>Australia</v>
      </c>
      <c r="D2" t="str">
        <v>C-17</v>
      </c>
      <c r="E2" t="str">
        <v>A</v>
      </c>
      <c r="F2" t="str">
        <v>itv</v>
      </c>
      <c r="G2">
        <v>3</v>
      </c>
      <c r="H2" t="str">
        <v>B</v>
      </c>
      <c r="I2">
        <v>150</v>
      </c>
      <c r="J2">
        <v>280</v>
      </c>
      <c r="K2">
        <v>265</v>
      </c>
      <c r="L2">
        <v>285</v>
      </c>
      <c r="M2">
        <v>0</v>
      </c>
      <c r="N2">
        <v>0</v>
      </c>
      <c r="O2">
        <v>0</v>
      </c>
    </row>
    <row r="3" spans="1:15" x14ac:dyDescent="0.3">
      <c r="A3" t="str">
        <v>A330 MRTT</v>
      </c>
      <c r="B3" t="str">
        <v>KC-30M</v>
      </c>
      <c r="C3" t="str">
        <v>Australia</v>
      </c>
      <c r="D3" t="str">
        <v>E-7</v>
      </c>
      <c r="E3" t="str">
        <v>A</v>
      </c>
      <c r="F3" t="str">
        <v>itv</v>
      </c>
      <c r="G3">
        <v>3</v>
      </c>
      <c r="H3" t="str">
        <v>B</v>
      </c>
      <c r="I3">
        <v>200</v>
      </c>
      <c r="J3">
        <v>300</v>
      </c>
      <c r="K3">
        <v>250</v>
      </c>
      <c r="L3">
        <v>290</v>
      </c>
      <c r="M3">
        <v>0</v>
      </c>
      <c r="N3">
        <v>0</v>
      </c>
      <c r="O3">
        <v>0</v>
      </c>
    </row>
    <row r="4" spans="1:15" x14ac:dyDescent="0.3">
      <c r="A4" t="str">
        <v>A330 MRTT</v>
      </c>
      <c r="B4" t="str">
        <v>KC-30M</v>
      </c>
      <c r="C4" t="str">
        <v>Australia</v>
      </c>
      <c r="D4" t="str">
        <v>EA-18</v>
      </c>
      <c r="E4" t="str">
        <v>G</v>
      </c>
      <c r="F4" t="str">
        <v>itv</v>
      </c>
      <c r="G4">
        <v>3</v>
      </c>
      <c r="H4" t="str">
        <v>P</v>
      </c>
      <c r="I4">
        <v>15</v>
      </c>
      <c r="J4">
        <v>350</v>
      </c>
      <c r="K4">
        <v>250</v>
      </c>
      <c r="L4">
        <v>300</v>
      </c>
      <c r="M4">
        <v>0</v>
      </c>
      <c r="N4">
        <v>0</v>
      </c>
      <c r="O4" t="str">
        <v>given in 1500 ft</v>
      </c>
    </row>
    <row r="5" spans="1:15" x14ac:dyDescent="0.3">
      <c r="A5" t="str">
        <v>A330 MRTT</v>
      </c>
      <c r="B5" t="str">
        <v>KC-30M</v>
      </c>
      <c r="C5" t="str">
        <v>Australia</v>
      </c>
      <c r="D5" t="str">
        <v>F/A-18</v>
      </c>
      <c r="E5" t="str">
        <v>F</v>
      </c>
      <c r="F5" t="str">
        <v>itv</v>
      </c>
      <c r="G5">
        <v>3</v>
      </c>
      <c r="H5" t="str">
        <v>P</v>
      </c>
      <c r="I5">
        <v>15</v>
      </c>
      <c r="J5">
        <v>350</v>
      </c>
      <c r="K5">
        <v>250</v>
      </c>
      <c r="L5">
        <v>300</v>
      </c>
      <c r="M5">
        <v>0</v>
      </c>
      <c r="N5">
        <v>0</v>
      </c>
      <c r="O5" t="str">
        <v>given in 1500 ft</v>
      </c>
    </row>
    <row r="6" spans="1:15" x14ac:dyDescent="0.3">
      <c r="A6" t="str">
        <v>A330 MRTT</v>
      </c>
      <c r="B6" t="str">
        <v>KC-30M</v>
      </c>
      <c r="C6" t="str">
        <v>Australia</v>
      </c>
      <c r="D6" t="str">
        <v>F-35</v>
      </c>
      <c r="E6" t="str">
        <v>A</v>
      </c>
      <c r="F6" t="str">
        <v>itv</v>
      </c>
      <c r="G6">
        <v>3</v>
      </c>
      <c r="H6" t="str">
        <v>B</v>
      </c>
      <c r="I6">
        <v>80</v>
      </c>
      <c r="J6">
        <v>350</v>
      </c>
      <c r="K6">
        <v>265</v>
      </c>
      <c r="L6">
        <v>325</v>
      </c>
      <c r="M6">
        <v>0</v>
      </c>
      <c r="N6">
        <v>0</v>
      </c>
      <c r="O6">
        <v>0</v>
      </c>
    </row>
    <row r="7" spans="1:15" x14ac:dyDescent="0.3">
      <c r="A7" t="str">
        <v>A330 MRTT</v>
      </c>
      <c r="B7" t="str">
        <v>KC-30M</v>
      </c>
      <c r="C7" t="str">
        <v>Australia</v>
      </c>
      <c r="D7" t="str">
        <v>A330 MRTT</v>
      </c>
      <c r="E7" t="str">
        <v>KC-30A</v>
      </c>
      <c r="F7" t="str">
        <v>itv</v>
      </c>
      <c r="G7">
        <v>3</v>
      </c>
      <c r="H7" t="str">
        <v>B</v>
      </c>
      <c r="I7">
        <v>150</v>
      </c>
      <c r="J7">
        <v>300</v>
      </c>
      <c r="K7">
        <v>250</v>
      </c>
      <c r="L7">
        <v>290</v>
      </c>
      <c r="M7">
        <v>0</v>
      </c>
      <c r="N7">
        <v>0</v>
      </c>
      <c r="O7">
        <v>0</v>
      </c>
    </row>
    <row r="8" spans="1:15" x14ac:dyDescent="0.3">
      <c r="A8" t="str">
        <v>A330 MRTT</v>
      </c>
      <c r="B8" t="str">
        <v>KC-30M</v>
      </c>
      <c r="C8" t="str">
        <v>Australia</v>
      </c>
      <c r="D8" t="str">
        <v>P-8</v>
      </c>
      <c r="E8" t="str">
        <v>A</v>
      </c>
      <c r="F8" t="str">
        <v>itv</v>
      </c>
      <c r="G8">
        <v>3</v>
      </c>
      <c r="H8" t="str">
        <v>B</v>
      </c>
      <c r="I8">
        <v>80</v>
      </c>
      <c r="J8">
        <v>280</v>
      </c>
      <c r="K8">
        <v>250</v>
      </c>
      <c r="L8">
        <v>300</v>
      </c>
      <c r="M8">
        <v>0</v>
      </c>
      <c r="N8">
        <v>0</v>
      </c>
      <c r="O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EADE0-16CC-4BAF-BF4C-A2D26ED274ED}">
  <dimension ref="A2:O9"/>
  <sheetViews>
    <sheetView workbookViewId="0"/>
  </sheetViews>
  <sheetFormatPr defaultRowHeight="14.4" x14ac:dyDescent="0.3"/>
  <sheetData>
    <row r="2" spans="1:15" x14ac:dyDescent="0.3">
      <c r="A2" t="str" cm="1">
        <f t="array" ref="A2:O9">_xlfn.SORTBY(
    _xlfn._xlws.FILTER(Specifications!B:P, Specifications!A:A="MSM", ""),
    _xlfn._xlws.FILTER(Specifications!B:B, Specifications!A:A="MSM"), 1,
    _xlfn._xlws.FILTER(Specifications!D:D, Specifications!A:A="MSM"), 1
)</f>
        <v xml:space="preserve">KC-135 </v>
      </c>
      <c r="B2" t="str">
        <v>R</v>
      </c>
      <c r="C2" t="str">
        <v>Australia</v>
      </c>
      <c r="D2" t="str">
        <v>C-17</v>
      </c>
      <c r="E2" t="str">
        <v>A</v>
      </c>
      <c r="F2" t="str">
        <v>itv</v>
      </c>
      <c r="G2">
        <v>3</v>
      </c>
      <c r="H2" t="str">
        <v>B</v>
      </c>
      <c r="I2">
        <v>120</v>
      </c>
      <c r="J2">
        <v>310</v>
      </c>
      <c r="K2">
        <v>260</v>
      </c>
      <c r="L2">
        <v>270</v>
      </c>
      <c r="M2">
        <v>0</v>
      </c>
      <c r="N2">
        <v>0</v>
      </c>
      <c r="O2">
        <v>0</v>
      </c>
    </row>
    <row r="3" spans="1:15" x14ac:dyDescent="0.3">
      <c r="A3" t="str">
        <v xml:space="preserve">KC-135 </v>
      </c>
      <c r="B3" t="str">
        <v>R</v>
      </c>
      <c r="C3" t="str">
        <v>Australia</v>
      </c>
      <c r="D3" t="str">
        <v>E-7</v>
      </c>
      <c r="E3" t="str">
        <v>A</v>
      </c>
      <c r="F3" t="str">
        <v>itv</v>
      </c>
      <c r="G3">
        <v>3</v>
      </c>
      <c r="H3" t="str">
        <v>B</v>
      </c>
      <c r="I3">
        <v>200</v>
      </c>
      <c r="J3">
        <v>300</v>
      </c>
      <c r="K3">
        <v>250</v>
      </c>
      <c r="L3">
        <v>290</v>
      </c>
      <c r="M3">
        <v>0</v>
      </c>
      <c r="N3">
        <v>0</v>
      </c>
      <c r="O3">
        <v>0</v>
      </c>
    </row>
    <row r="4" spans="1:15" x14ac:dyDescent="0.3">
      <c r="A4" t="str">
        <v xml:space="preserve">KC-135 </v>
      </c>
      <c r="B4" t="str">
        <v>R</v>
      </c>
      <c r="C4" t="str">
        <v>Australia</v>
      </c>
      <c r="D4" t="str">
        <v>F/A-18</v>
      </c>
      <c r="E4" t="str">
        <v>F</v>
      </c>
      <c r="F4" t="str">
        <v>itv</v>
      </c>
      <c r="G4">
        <v>3</v>
      </c>
      <c r="H4" t="str">
        <v>BDA</v>
      </c>
      <c r="I4">
        <v>50</v>
      </c>
      <c r="J4">
        <v>350</v>
      </c>
      <c r="K4">
        <v>200</v>
      </c>
      <c r="L4">
        <v>275</v>
      </c>
      <c r="M4">
        <v>0</v>
      </c>
      <c r="N4">
        <v>0</v>
      </c>
      <c r="O4">
        <v>0</v>
      </c>
    </row>
    <row r="5" spans="1:15" x14ac:dyDescent="0.3">
      <c r="A5" t="str">
        <v xml:space="preserve">KC-135 </v>
      </c>
      <c r="B5" t="str">
        <v>R</v>
      </c>
      <c r="C5" t="str">
        <v>Australia</v>
      </c>
      <c r="D5" t="str">
        <v>F/A-18</v>
      </c>
      <c r="E5" t="str">
        <v>F</v>
      </c>
      <c r="F5" t="str">
        <v>itv</v>
      </c>
      <c r="G5">
        <v>3</v>
      </c>
      <c r="H5" t="str">
        <v>P</v>
      </c>
      <c r="I5">
        <v>50</v>
      </c>
      <c r="J5">
        <v>350</v>
      </c>
      <c r="K5">
        <v>220</v>
      </c>
      <c r="L5">
        <v>270</v>
      </c>
      <c r="M5">
        <v>0</v>
      </c>
      <c r="N5">
        <v>0</v>
      </c>
      <c r="O5">
        <v>0</v>
      </c>
    </row>
    <row r="6" spans="1:15" x14ac:dyDescent="0.3">
      <c r="A6" t="str">
        <v xml:space="preserve">KC-135 </v>
      </c>
      <c r="B6" t="str">
        <v>R</v>
      </c>
      <c r="C6" t="str">
        <v>Australia</v>
      </c>
      <c r="D6" t="str">
        <v>EA-18</v>
      </c>
      <c r="E6" t="str">
        <v>G</v>
      </c>
      <c r="F6" t="str">
        <v>itv</v>
      </c>
      <c r="G6">
        <v>3</v>
      </c>
      <c r="H6" t="str">
        <v>BDA</v>
      </c>
      <c r="I6">
        <v>50</v>
      </c>
      <c r="J6">
        <v>350</v>
      </c>
      <c r="K6">
        <v>200</v>
      </c>
      <c r="L6">
        <v>275</v>
      </c>
      <c r="M6">
        <v>0</v>
      </c>
      <c r="N6">
        <v>0</v>
      </c>
      <c r="O6">
        <v>0</v>
      </c>
    </row>
    <row r="7" spans="1:15" x14ac:dyDescent="0.3">
      <c r="A7" t="str">
        <v xml:space="preserve">KC-135 </v>
      </c>
      <c r="B7" t="str">
        <v>R</v>
      </c>
      <c r="C7" t="str">
        <v>Australia</v>
      </c>
      <c r="D7" t="str">
        <v>EA-18</v>
      </c>
      <c r="E7" t="str">
        <v>G</v>
      </c>
      <c r="F7" t="str">
        <v>itv</v>
      </c>
      <c r="G7">
        <v>3</v>
      </c>
      <c r="H7" t="str">
        <v>P</v>
      </c>
      <c r="I7">
        <v>50</v>
      </c>
      <c r="J7">
        <v>350</v>
      </c>
      <c r="K7">
        <v>220</v>
      </c>
      <c r="L7">
        <v>270</v>
      </c>
      <c r="M7">
        <v>0</v>
      </c>
      <c r="N7">
        <v>0</v>
      </c>
      <c r="O7">
        <v>0</v>
      </c>
    </row>
    <row r="8" spans="1:15" x14ac:dyDescent="0.3">
      <c r="A8" t="str">
        <v xml:space="preserve">KC-135 </v>
      </c>
      <c r="B8" t="str">
        <v>R</v>
      </c>
      <c r="C8" t="str">
        <v>Australia</v>
      </c>
      <c r="D8" t="str">
        <v>F-35</v>
      </c>
      <c r="E8" t="str">
        <v>A</v>
      </c>
      <c r="F8" t="str">
        <v>itv</v>
      </c>
      <c r="G8">
        <v>3</v>
      </c>
      <c r="H8" t="str">
        <v>B</v>
      </c>
      <c r="I8">
        <v>100</v>
      </c>
      <c r="J8">
        <v>300</v>
      </c>
      <c r="K8">
        <v>230</v>
      </c>
      <c r="L8">
        <v>350</v>
      </c>
      <c r="M8">
        <v>0</v>
      </c>
      <c r="N8">
        <v>0</v>
      </c>
      <c r="O8">
        <v>0</v>
      </c>
    </row>
    <row r="9" spans="1:15" x14ac:dyDescent="0.3">
      <c r="A9" t="str">
        <v xml:space="preserve">KC-135 </v>
      </c>
      <c r="B9" t="str">
        <v>R</v>
      </c>
      <c r="C9" t="str">
        <v>Australia</v>
      </c>
      <c r="D9" t="str">
        <v>P-8</v>
      </c>
      <c r="E9" t="str">
        <v>A</v>
      </c>
      <c r="F9" t="str">
        <v>itv</v>
      </c>
      <c r="G9">
        <v>3</v>
      </c>
      <c r="H9" t="str">
        <v>B</v>
      </c>
      <c r="I9">
        <v>80</v>
      </c>
      <c r="J9">
        <v>280</v>
      </c>
      <c r="K9">
        <v>250</v>
      </c>
      <c r="L9">
        <v>300</v>
      </c>
      <c r="M9">
        <v>0</v>
      </c>
      <c r="N9">
        <v>0</v>
      </c>
      <c r="O9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FF64-F27B-4DCF-BD8A-A23CBF1D6B67}">
  <dimension ref="A2"/>
  <sheetViews>
    <sheetView workbookViewId="0">
      <selection activeCell="A2" sqref="A2"/>
    </sheetView>
  </sheetViews>
  <sheetFormatPr defaultRowHeight="14.4" x14ac:dyDescent="0.3"/>
  <cols>
    <col min="1" max="1" width="12.5546875" bestFit="1" customWidth="1"/>
  </cols>
  <sheetData>
    <row r="2" spans="1:1" x14ac:dyDescent="0.3">
      <c r="A2" t="e" cm="1" vm="1">
        <f t="array" ref="A2">_xlfn.SORTBY(
    _xlfn._xlws.FILTER(Specifications!B:P, Specifications!A:A="NATO", ""),
    _xlfn._xlws.FILTER(Specifications!B:B, Specifications!A:A="NATO"), 1,
    _xlfn._xlws.FILTER(Specifications!D:D, Specifications!A:A="NATO"), 1
)</f>
        <v>#VALUE!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FA06C-6634-4B31-BB38-71BCE4DFF653}">
  <dimension ref="A2:O6"/>
  <sheetViews>
    <sheetView workbookViewId="0">
      <selection activeCell="A2" sqref="A2"/>
    </sheetView>
  </sheetViews>
  <sheetFormatPr defaultRowHeight="14.4" x14ac:dyDescent="0.3"/>
  <sheetData>
    <row r="2" spans="1:15" x14ac:dyDescent="0.3">
      <c r="A2" t="str" cm="1">
        <f t="array" ref="A2:O6">_xlfn.SORTBY(
    _xlfn._xlws.FILTER(Specifications!B:P, Specifications!A:A="Omega", ""),
    _xlfn._xlws.FILTER(Specifications!B:B, Specifications!A:A="Omega"), 1,
    _xlfn._xlws.FILTER(Specifications!D:D, Specifications!A:A="Omega"), 1
)</f>
        <v>KC-10</v>
      </c>
      <c r="B2" t="str">
        <v>KDC-10B</v>
      </c>
      <c r="C2" t="str">
        <v>Australia</v>
      </c>
      <c r="D2" t="str">
        <v>C-17</v>
      </c>
      <c r="E2" t="str">
        <v>A</v>
      </c>
      <c r="F2" t="str">
        <v>itv</v>
      </c>
      <c r="G2">
        <v>3</v>
      </c>
      <c r="H2" t="str">
        <v>B</v>
      </c>
      <c r="I2">
        <v>120</v>
      </c>
      <c r="J2">
        <v>310</v>
      </c>
      <c r="K2">
        <v>275</v>
      </c>
      <c r="L2">
        <v>290</v>
      </c>
      <c r="M2">
        <v>0</v>
      </c>
      <c r="N2">
        <v>0</v>
      </c>
      <c r="O2">
        <v>0</v>
      </c>
    </row>
    <row r="3" spans="1:15" x14ac:dyDescent="0.3">
      <c r="A3" t="str">
        <v>KC-10</v>
      </c>
      <c r="B3" t="str">
        <v>KDC-10A</v>
      </c>
      <c r="C3" t="str">
        <v>Australia</v>
      </c>
      <c r="D3" t="str">
        <v>F/A-18</v>
      </c>
      <c r="E3" t="str">
        <v>F</v>
      </c>
      <c r="F3" t="str">
        <v>itv</v>
      </c>
      <c r="G3">
        <v>3</v>
      </c>
      <c r="H3" t="str">
        <v>P</v>
      </c>
      <c r="I3">
        <v>50</v>
      </c>
      <c r="J3">
        <v>330</v>
      </c>
      <c r="K3">
        <v>200</v>
      </c>
      <c r="L3">
        <v>300</v>
      </c>
      <c r="M3">
        <v>0</v>
      </c>
      <c r="N3">
        <v>0</v>
      </c>
      <c r="O3">
        <v>0</v>
      </c>
    </row>
    <row r="4" spans="1:15" x14ac:dyDescent="0.3">
      <c r="A4" t="str">
        <v>KC-10</v>
      </c>
      <c r="B4" t="str">
        <v>KDC-10A</v>
      </c>
      <c r="C4" t="str">
        <v>Australia</v>
      </c>
      <c r="D4" t="str">
        <v>EA-18</v>
      </c>
      <c r="E4" t="str">
        <v>G</v>
      </c>
      <c r="F4" t="str">
        <v>itv</v>
      </c>
      <c r="G4">
        <v>3</v>
      </c>
      <c r="H4" t="str">
        <v>P</v>
      </c>
      <c r="I4">
        <v>50</v>
      </c>
      <c r="J4">
        <v>330</v>
      </c>
      <c r="K4">
        <v>200</v>
      </c>
      <c r="L4">
        <v>300</v>
      </c>
      <c r="M4">
        <v>0</v>
      </c>
      <c r="N4">
        <v>0</v>
      </c>
      <c r="O4">
        <v>0</v>
      </c>
    </row>
    <row r="5" spans="1:15" x14ac:dyDescent="0.3">
      <c r="A5" t="str">
        <v>KDC-10</v>
      </c>
      <c r="B5" t="str">
        <v>B</v>
      </c>
      <c r="C5" t="str">
        <v>Australia</v>
      </c>
      <c r="D5" t="str">
        <v>E-7</v>
      </c>
      <c r="E5" t="str">
        <v>A</v>
      </c>
      <c r="F5" t="str">
        <v>itv</v>
      </c>
      <c r="G5">
        <v>0</v>
      </c>
      <c r="H5" t="str">
        <v>B</v>
      </c>
      <c r="I5">
        <v>200</v>
      </c>
      <c r="J5">
        <v>320</v>
      </c>
      <c r="K5">
        <v>250</v>
      </c>
      <c r="L5">
        <v>290</v>
      </c>
      <c r="M5">
        <v>0</v>
      </c>
      <c r="N5">
        <v>0</v>
      </c>
      <c r="O5">
        <v>0</v>
      </c>
    </row>
    <row r="6" spans="1:15" x14ac:dyDescent="0.3">
      <c r="A6" t="str">
        <v>KDC-10</v>
      </c>
      <c r="B6" t="str">
        <v>B</v>
      </c>
      <c r="C6" t="str">
        <v>Australia</v>
      </c>
      <c r="D6" t="str">
        <v>F-35</v>
      </c>
      <c r="E6" t="str">
        <v>A</v>
      </c>
      <c r="F6" t="str">
        <v>itv</v>
      </c>
      <c r="G6">
        <v>3</v>
      </c>
      <c r="H6" t="str">
        <v>B</v>
      </c>
      <c r="I6">
        <v>100</v>
      </c>
      <c r="J6">
        <v>300</v>
      </c>
      <c r="K6">
        <v>230</v>
      </c>
      <c r="L6">
        <v>350</v>
      </c>
      <c r="M6">
        <v>0</v>
      </c>
      <c r="N6">
        <v>0</v>
      </c>
      <c r="O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FF94-DA94-4AF2-942E-CD7480F90488}">
  <dimension ref="A2:O8"/>
  <sheetViews>
    <sheetView workbookViewId="0">
      <selection activeCell="A2" sqref="A2"/>
    </sheetView>
  </sheetViews>
  <sheetFormatPr defaultRowHeight="14.4" x14ac:dyDescent="0.3"/>
  <sheetData>
    <row r="2" spans="1:15" x14ac:dyDescent="0.3">
      <c r="A2" t="str" cm="1">
        <f t="array" ref="A2:O8">_xlfn.SORTBY(
    _xlfn._xlws.FILTER(Specifications!B:P, Specifications!A:A="Singapore", ""),
    _xlfn._xlws.FILTER(Specifications!B:B, Specifications!A:A="Singapore"), 1,
    _xlfn._xlws.FILTER(Specifications!D:D, Specifications!A:A="Singapore"), 1
)</f>
        <v>A330 MRTT</v>
      </c>
      <c r="B2" t="str">
        <v>A330 MRTT</v>
      </c>
      <c r="C2" t="str">
        <v>Australia</v>
      </c>
      <c r="D2" t="str">
        <v>C-17</v>
      </c>
      <c r="E2" t="str">
        <v>A</v>
      </c>
      <c r="F2" t="str">
        <v>itv</v>
      </c>
      <c r="G2">
        <v>3</v>
      </c>
      <c r="H2" t="str">
        <v>B</v>
      </c>
      <c r="I2">
        <v>150</v>
      </c>
      <c r="J2">
        <v>280</v>
      </c>
      <c r="K2">
        <v>265</v>
      </c>
      <c r="L2">
        <v>285</v>
      </c>
      <c r="M2">
        <v>0</v>
      </c>
      <c r="N2">
        <v>0</v>
      </c>
      <c r="O2">
        <v>0</v>
      </c>
    </row>
    <row r="3" spans="1:15" x14ac:dyDescent="0.3">
      <c r="A3" t="str">
        <v>A330 MRTT</v>
      </c>
      <c r="B3" t="str">
        <v>A330 MRTT</v>
      </c>
      <c r="C3" t="str">
        <v>Australia</v>
      </c>
      <c r="D3" t="str">
        <v>E-7</v>
      </c>
      <c r="E3" t="str">
        <v>A</v>
      </c>
      <c r="F3" t="str">
        <v>itv</v>
      </c>
      <c r="G3">
        <v>3</v>
      </c>
      <c r="H3" t="str">
        <v>B</v>
      </c>
      <c r="I3">
        <v>200</v>
      </c>
      <c r="J3">
        <v>300</v>
      </c>
      <c r="K3">
        <v>250</v>
      </c>
      <c r="L3">
        <v>290</v>
      </c>
      <c r="M3">
        <v>0</v>
      </c>
      <c r="N3">
        <v>0</v>
      </c>
      <c r="O3">
        <v>0</v>
      </c>
    </row>
    <row r="4" spans="1:15" x14ac:dyDescent="0.3">
      <c r="A4" t="str">
        <v>A330 MRTT</v>
      </c>
      <c r="B4" t="str">
        <v>A330 MRTT</v>
      </c>
      <c r="C4" t="str">
        <v>Australia</v>
      </c>
      <c r="D4" t="str">
        <v>EA-18</v>
      </c>
      <c r="E4" t="str">
        <v>G</v>
      </c>
      <c r="F4" t="str">
        <v>itv</v>
      </c>
      <c r="G4">
        <v>3</v>
      </c>
      <c r="H4" t="str">
        <v>P</v>
      </c>
      <c r="I4">
        <v>15</v>
      </c>
      <c r="J4">
        <v>350</v>
      </c>
      <c r="K4">
        <v>250</v>
      </c>
      <c r="L4">
        <v>300</v>
      </c>
      <c r="M4">
        <v>0</v>
      </c>
      <c r="N4">
        <v>0</v>
      </c>
      <c r="O4" t="str">
        <v>given in 1500 ft</v>
      </c>
    </row>
    <row r="5" spans="1:15" x14ac:dyDescent="0.3">
      <c r="A5" t="str">
        <v>A330 MRTT</v>
      </c>
      <c r="B5" t="str">
        <v>A330 MRTT</v>
      </c>
      <c r="C5" t="str">
        <v>Australia</v>
      </c>
      <c r="D5" t="str">
        <v>F/A-18</v>
      </c>
      <c r="E5" t="str">
        <v>F</v>
      </c>
      <c r="F5" t="str">
        <v>itv</v>
      </c>
      <c r="G5">
        <v>3</v>
      </c>
      <c r="H5" t="str">
        <v>P</v>
      </c>
      <c r="I5">
        <v>15</v>
      </c>
      <c r="J5">
        <v>350</v>
      </c>
      <c r="K5">
        <v>250</v>
      </c>
      <c r="L5">
        <v>300</v>
      </c>
      <c r="M5">
        <v>0</v>
      </c>
      <c r="N5">
        <v>0</v>
      </c>
      <c r="O5" t="str">
        <v>given in 1500 ft</v>
      </c>
    </row>
    <row r="6" spans="1:15" x14ac:dyDescent="0.3">
      <c r="A6" t="str">
        <v>A330 MRTT</v>
      </c>
      <c r="B6" t="str">
        <v>A330 MRTT</v>
      </c>
      <c r="C6" t="str">
        <v>Australia</v>
      </c>
      <c r="D6" t="str">
        <v>F-35</v>
      </c>
      <c r="E6" t="str">
        <v>A</v>
      </c>
      <c r="F6" t="str">
        <v>itv</v>
      </c>
      <c r="G6">
        <v>3</v>
      </c>
      <c r="H6" t="str">
        <v>B</v>
      </c>
      <c r="I6">
        <v>80</v>
      </c>
      <c r="J6">
        <v>350</v>
      </c>
      <c r="K6">
        <v>265</v>
      </c>
      <c r="L6">
        <v>325</v>
      </c>
      <c r="M6">
        <v>0</v>
      </c>
      <c r="N6">
        <v>0</v>
      </c>
      <c r="O6">
        <v>0</v>
      </c>
    </row>
    <row r="7" spans="1:15" x14ac:dyDescent="0.3">
      <c r="A7" t="str">
        <v>A330 MRTT</v>
      </c>
      <c r="B7" t="str">
        <v>A330 MRTT</v>
      </c>
      <c r="C7" t="str">
        <v>Australia</v>
      </c>
      <c r="D7" t="str">
        <v>A330 MRTT</v>
      </c>
      <c r="E7" t="str">
        <v>KC-30A</v>
      </c>
      <c r="F7" t="str">
        <v>itv</v>
      </c>
      <c r="G7">
        <v>3</v>
      </c>
      <c r="H7" t="str">
        <v>B</v>
      </c>
      <c r="I7">
        <v>150</v>
      </c>
      <c r="J7">
        <v>300</v>
      </c>
      <c r="K7">
        <v>250</v>
      </c>
      <c r="L7">
        <v>290</v>
      </c>
      <c r="M7">
        <v>0</v>
      </c>
      <c r="N7">
        <v>0</v>
      </c>
      <c r="O7">
        <v>0</v>
      </c>
    </row>
    <row r="8" spans="1:15" x14ac:dyDescent="0.3">
      <c r="A8" t="str">
        <v>A330 MRTT</v>
      </c>
      <c r="B8" t="str">
        <v>A330 MRTT</v>
      </c>
      <c r="C8" t="str">
        <v>Australia</v>
      </c>
      <c r="D8" t="str">
        <v>P-8</v>
      </c>
      <c r="E8" t="str">
        <v>A</v>
      </c>
      <c r="F8" t="str">
        <v>itv</v>
      </c>
      <c r="G8">
        <v>3</v>
      </c>
      <c r="H8" t="str">
        <v>B</v>
      </c>
      <c r="I8">
        <v>80</v>
      </c>
      <c r="J8">
        <v>280</v>
      </c>
      <c r="K8">
        <v>250</v>
      </c>
      <c r="L8">
        <v>300</v>
      </c>
      <c r="M8">
        <v>0</v>
      </c>
      <c r="N8">
        <v>0</v>
      </c>
      <c r="O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2003-4A20-4820-A6C7-3657CAC8B34E}">
  <dimension ref="A2:O8"/>
  <sheetViews>
    <sheetView workbookViewId="0">
      <selection activeCell="A2" sqref="A2"/>
    </sheetView>
  </sheetViews>
  <sheetFormatPr defaultRowHeight="14.4" x14ac:dyDescent="0.3"/>
  <cols>
    <col min="1" max="1" width="12.5546875" bestFit="1" customWidth="1"/>
  </cols>
  <sheetData>
    <row r="2" spans="1:15" x14ac:dyDescent="0.3">
      <c r="A2" t="str" cm="1">
        <f t="array" ref="A2:O8">_xlfn.SORTBY(
    _xlfn._xlws.FILTER(Specifications!B:P, Specifications!A:A="South Korea", ""),
    _xlfn._xlws.FILTER(Specifications!B:B, Specifications!A:A="South Korea"), 1,
    _xlfn._xlws.FILTER(Specifications!D:D, Specifications!A:A="South Korea"), 1
 )</f>
        <v>A330 MRTT</v>
      </c>
      <c r="B2" t="str">
        <v>KC-330</v>
      </c>
      <c r="C2" t="str">
        <v>Australia</v>
      </c>
      <c r="D2" t="str">
        <v>C-17</v>
      </c>
      <c r="E2" t="str">
        <v>A</v>
      </c>
      <c r="F2" t="str">
        <v>itv</v>
      </c>
      <c r="G2">
        <v>3</v>
      </c>
      <c r="H2" t="str">
        <v>B</v>
      </c>
      <c r="I2">
        <v>150</v>
      </c>
      <c r="J2">
        <v>280</v>
      </c>
      <c r="K2">
        <v>265</v>
      </c>
      <c r="L2">
        <v>285</v>
      </c>
      <c r="M2">
        <v>0</v>
      </c>
      <c r="N2">
        <v>0</v>
      </c>
      <c r="O2">
        <v>0</v>
      </c>
    </row>
    <row r="3" spans="1:15" x14ac:dyDescent="0.3">
      <c r="A3" t="str">
        <v>A330 MRTT</v>
      </c>
      <c r="B3" t="str">
        <v>KC-330</v>
      </c>
      <c r="C3" t="str">
        <v>Australia</v>
      </c>
      <c r="D3" t="str">
        <v>E-7</v>
      </c>
      <c r="E3" t="str">
        <v>A</v>
      </c>
      <c r="F3" t="str">
        <v>itv</v>
      </c>
      <c r="G3">
        <v>3</v>
      </c>
      <c r="H3" t="str">
        <v>B</v>
      </c>
      <c r="I3">
        <v>200</v>
      </c>
      <c r="J3">
        <v>300</v>
      </c>
      <c r="K3">
        <v>250</v>
      </c>
      <c r="L3">
        <v>290</v>
      </c>
      <c r="M3">
        <v>0</v>
      </c>
      <c r="N3">
        <v>0</v>
      </c>
      <c r="O3">
        <v>0</v>
      </c>
    </row>
    <row r="4" spans="1:15" x14ac:dyDescent="0.3">
      <c r="A4" t="str">
        <v>A330 MRTT</v>
      </c>
      <c r="B4" t="str">
        <v>KC-330</v>
      </c>
      <c r="C4" t="str">
        <v>Australia</v>
      </c>
      <c r="D4" t="str">
        <v>EA-18</v>
      </c>
      <c r="E4" t="str">
        <v>G</v>
      </c>
      <c r="F4" t="str">
        <v>itv</v>
      </c>
      <c r="G4">
        <v>3</v>
      </c>
      <c r="H4" t="str">
        <v>P</v>
      </c>
      <c r="I4">
        <v>15</v>
      </c>
      <c r="J4">
        <v>350</v>
      </c>
      <c r="K4">
        <v>250</v>
      </c>
      <c r="L4">
        <v>300</v>
      </c>
      <c r="M4">
        <v>0</v>
      </c>
      <c r="N4">
        <v>0</v>
      </c>
      <c r="O4" t="str">
        <v>given in 1500 ft</v>
      </c>
    </row>
    <row r="5" spans="1:15" x14ac:dyDescent="0.3">
      <c r="A5" t="str">
        <v>A330 MRTT</v>
      </c>
      <c r="B5" t="str">
        <v>KC-330</v>
      </c>
      <c r="C5" t="str">
        <v>Australia</v>
      </c>
      <c r="D5" t="str">
        <v>F/A-18</v>
      </c>
      <c r="E5" t="str">
        <v>F</v>
      </c>
      <c r="F5" t="str">
        <v>itv</v>
      </c>
      <c r="G5">
        <v>3</v>
      </c>
      <c r="H5" t="str">
        <v>P</v>
      </c>
      <c r="I5">
        <v>15</v>
      </c>
      <c r="J5">
        <v>350</v>
      </c>
      <c r="K5">
        <v>250</v>
      </c>
      <c r="L5">
        <v>300</v>
      </c>
      <c r="M5">
        <v>0</v>
      </c>
      <c r="N5">
        <v>0</v>
      </c>
      <c r="O5" t="str">
        <v>given in 1500 ft</v>
      </c>
    </row>
    <row r="6" spans="1:15" x14ac:dyDescent="0.3">
      <c r="A6" t="str">
        <v>A330 MRTT</v>
      </c>
      <c r="B6" t="str">
        <v>KC-330</v>
      </c>
      <c r="C6" t="str">
        <v>Australia</v>
      </c>
      <c r="D6" t="str">
        <v>F-35</v>
      </c>
      <c r="E6" t="str">
        <v>A</v>
      </c>
      <c r="F6" t="str">
        <v>itv</v>
      </c>
      <c r="G6">
        <v>3</v>
      </c>
      <c r="H6" t="str">
        <v>B</v>
      </c>
      <c r="I6">
        <v>80</v>
      </c>
      <c r="J6">
        <v>350</v>
      </c>
      <c r="K6">
        <v>265</v>
      </c>
      <c r="L6">
        <v>325</v>
      </c>
      <c r="M6">
        <v>0</v>
      </c>
      <c r="N6">
        <v>0</v>
      </c>
      <c r="O6">
        <v>0</v>
      </c>
    </row>
    <row r="7" spans="1:15" x14ac:dyDescent="0.3">
      <c r="A7" t="str">
        <v>A330 MRTT</v>
      </c>
      <c r="B7" t="str">
        <v>KC-330</v>
      </c>
      <c r="C7" t="str">
        <v>Australia</v>
      </c>
      <c r="D7" t="str">
        <v>A330 MRTT</v>
      </c>
      <c r="E7" t="str">
        <v>KC-30A</v>
      </c>
      <c r="F7" t="str">
        <v>itv</v>
      </c>
      <c r="G7">
        <v>3</v>
      </c>
      <c r="H7" t="str">
        <v>B</v>
      </c>
      <c r="I7">
        <v>150</v>
      </c>
      <c r="J7">
        <v>300</v>
      </c>
      <c r="K7">
        <v>250</v>
      </c>
      <c r="L7">
        <v>290</v>
      </c>
      <c r="M7">
        <v>0</v>
      </c>
      <c r="N7">
        <v>0</v>
      </c>
      <c r="O7">
        <v>0</v>
      </c>
    </row>
    <row r="8" spans="1:15" x14ac:dyDescent="0.3">
      <c r="A8" t="str">
        <v>A330 MRTT</v>
      </c>
      <c r="B8" t="str">
        <v>KC-330</v>
      </c>
      <c r="C8" t="str">
        <v>Australia</v>
      </c>
      <c r="D8" t="str">
        <v>P-8</v>
      </c>
      <c r="E8" t="str">
        <v>A</v>
      </c>
      <c r="F8" t="str">
        <v>itv</v>
      </c>
      <c r="G8">
        <v>3</v>
      </c>
      <c r="H8" t="str">
        <v>B</v>
      </c>
      <c r="I8">
        <v>80</v>
      </c>
      <c r="J8">
        <v>280</v>
      </c>
      <c r="K8">
        <v>250</v>
      </c>
      <c r="L8">
        <v>300</v>
      </c>
      <c r="M8">
        <v>0</v>
      </c>
      <c r="N8">
        <v>0</v>
      </c>
      <c r="O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1E7BC-606F-4FED-AB91-5D5034AF19D5}">
  <dimension ref="A2"/>
  <sheetViews>
    <sheetView workbookViewId="0">
      <selection activeCell="A2" sqref="A2"/>
    </sheetView>
  </sheetViews>
  <sheetFormatPr defaultRowHeight="14.4" x14ac:dyDescent="0.3"/>
  <cols>
    <col min="1" max="1" width="12.5546875" bestFit="1" customWidth="1"/>
  </cols>
  <sheetData>
    <row r="2" spans="1:1" x14ac:dyDescent="0.3">
      <c r="A2" t="e" cm="1" vm="1">
        <f t="array" ref="A2">_xlfn.SORTBY(
    _xlfn._xlws.FILTER(Specifications!B:P, Specifications!A:A="Spain", ""),
    _xlfn._xlws.FILTER(Specifications!B:B, Specifications!A:A="Spain"), 1,
    _xlfn._xlws.FILTER(Specifications!D:D, Specifications!A:A="Spain"), 1
)</f>
        <v>#VALUE!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F39C-6B7A-4CE9-B30D-D4E4AB35C9EA}">
  <dimension ref="A2"/>
  <sheetViews>
    <sheetView workbookViewId="0">
      <selection activeCell="A2" sqref="A2"/>
    </sheetView>
  </sheetViews>
  <sheetFormatPr defaultRowHeight="14.4" x14ac:dyDescent="0.3"/>
  <cols>
    <col min="1" max="1" width="12.5546875" bestFit="1" customWidth="1"/>
  </cols>
  <sheetData>
    <row r="2" spans="1:1" x14ac:dyDescent="0.3">
      <c r="A2" t="e" cm="1" vm="1">
        <f t="array" ref="A2">_xlfn.SORTBY(
    _xlfn._xlws.FILTER(Specifications!B:P, Specifications!A:A="Sweden", ""),
    _xlfn._xlws.FILTER(Specifications!B:B, Specifications!A:A="Sweden"), 1,
    _xlfn._xlws.FILTER(Specifications!D:D, Specifications!A:A="Sweden"), 1
)</f>
        <v>#VALUE!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E37DC-27E0-486F-A07C-982F71FD9CE0}">
  <dimension ref="A2"/>
  <sheetViews>
    <sheetView workbookViewId="0">
      <selection activeCell="A2" sqref="A2"/>
    </sheetView>
  </sheetViews>
  <sheetFormatPr defaultRowHeight="14.4" x14ac:dyDescent="0.3"/>
  <cols>
    <col min="1" max="1" width="12.5546875" bestFit="1" customWidth="1"/>
  </cols>
  <sheetData>
    <row r="2" spans="1:1" x14ac:dyDescent="0.3">
      <c r="A2" t="e" cm="1" vm="1">
        <f t="array" ref="A2">_xlfn.SORTBY(
    _xlfn._xlws.FILTER(Specifications!B:P, Specifications!A:A="Turkey", ""),
    _xlfn._xlws.FILTER(Specifications!B:B, Specifications!A:A="Turkey"), 1,
    _xlfn._xlws.FILTER(Specifications!D:D, Specifications!A:A="Turkey"), 1
)</f>
        <v>#VALUE!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191A5-29EA-4CF2-990D-805FC66C0544}">
  <dimension ref="A2"/>
  <sheetViews>
    <sheetView workbookViewId="0">
      <selection activeCell="A2" sqref="A2"/>
    </sheetView>
  </sheetViews>
  <sheetFormatPr defaultRowHeight="14.4" x14ac:dyDescent="0.3"/>
  <cols>
    <col min="1" max="1" width="12.5546875" bestFit="1" customWidth="1"/>
  </cols>
  <sheetData>
    <row r="2" spans="1:1" x14ac:dyDescent="0.3">
      <c r="A2" t="e" cm="1" vm="1">
        <f t="array" ref="A2">_xlfn.SORTBY(
    _xlfn._xlws.FILTER(Specifications!B:P, Specifications!A:A="UK", ""),
    _xlfn._xlws.FILTER(Specifications!B:B, Specifications!A:A="UK"), 1,
    _xlfn._xlws.FILTER(Specifications!D:D, Specifications!A:A="UK"), 1
)</f>
        <v>#VALUE!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D167D-A6A0-4D19-B9A2-D765901F3A4E}">
  <dimension ref="A2:O30"/>
  <sheetViews>
    <sheetView tabSelected="1" workbookViewId="0">
      <selection activeCell="D7" sqref="D7"/>
    </sheetView>
  </sheetViews>
  <sheetFormatPr defaultRowHeight="14.4" x14ac:dyDescent="0.3"/>
  <sheetData>
    <row r="2" spans="1:15" x14ac:dyDescent="0.3">
      <c r="A2" t="str" cm="1">
        <f t="array" ref="A2:O30">_xlfn.SORTBY(
    _xlfn._xlws.FILTER(Specifications!B:P, Specifications!A:A="USA", ""),
    _xlfn._xlws.FILTER(Specifications!B:B, Specifications!A:A="USA"), 1,
    _xlfn._xlws.FILTER(Specifications!D:D, Specifications!A:A="USA"), 1
)</f>
        <v>KC-10</v>
      </c>
      <c r="B2" t="str">
        <v>A</v>
      </c>
      <c r="C2" t="str">
        <v>Australia</v>
      </c>
      <c r="D2" t="str">
        <v>C-17</v>
      </c>
      <c r="E2" t="str">
        <v>A</v>
      </c>
      <c r="F2" t="str">
        <v>itv</v>
      </c>
      <c r="G2">
        <v>3</v>
      </c>
      <c r="H2" t="str">
        <v>B</v>
      </c>
      <c r="I2">
        <v>120</v>
      </c>
      <c r="J2">
        <v>310</v>
      </c>
      <c r="K2">
        <v>275</v>
      </c>
      <c r="L2">
        <v>290</v>
      </c>
      <c r="M2">
        <v>0</v>
      </c>
      <c r="N2">
        <v>0</v>
      </c>
      <c r="O2">
        <v>0</v>
      </c>
    </row>
    <row r="3" spans="1:15" x14ac:dyDescent="0.3">
      <c r="A3" t="str">
        <v>KC-10</v>
      </c>
      <c r="B3" t="str">
        <v>A</v>
      </c>
      <c r="C3" t="str">
        <v>Australia</v>
      </c>
      <c r="D3" t="str">
        <v>E-7</v>
      </c>
      <c r="E3" t="str">
        <v>A</v>
      </c>
      <c r="F3" t="str">
        <v>itv</v>
      </c>
      <c r="G3">
        <v>3</v>
      </c>
      <c r="H3" t="str">
        <v>B</v>
      </c>
      <c r="I3">
        <v>200</v>
      </c>
      <c r="J3">
        <v>320</v>
      </c>
      <c r="K3">
        <v>250</v>
      </c>
      <c r="L3">
        <v>290</v>
      </c>
      <c r="M3">
        <v>0</v>
      </c>
      <c r="N3">
        <v>0</v>
      </c>
      <c r="O3">
        <v>0</v>
      </c>
    </row>
    <row r="4" spans="1:15" x14ac:dyDescent="0.3">
      <c r="A4" t="str">
        <v>KC-10</v>
      </c>
      <c r="B4" t="str">
        <v>A</v>
      </c>
      <c r="C4" t="str">
        <v>Australia</v>
      </c>
      <c r="D4" t="str">
        <v>F/A-18</v>
      </c>
      <c r="E4" t="str">
        <v>F</v>
      </c>
      <c r="F4" t="str">
        <v>itv</v>
      </c>
      <c r="G4">
        <v>3</v>
      </c>
      <c r="H4" t="str">
        <v>P</v>
      </c>
      <c r="I4">
        <v>100</v>
      </c>
      <c r="J4">
        <v>320</v>
      </c>
      <c r="K4">
        <v>230</v>
      </c>
      <c r="L4">
        <v>305</v>
      </c>
      <c r="M4">
        <v>0</v>
      </c>
      <c r="N4">
        <v>0</v>
      </c>
      <c r="O4">
        <v>0</v>
      </c>
    </row>
    <row r="5" spans="1:15" x14ac:dyDescent="0.3">
      <c r="A5" t="str">
        <v>KC-10</v>
      </c>
      <c r="B5" t="str">
        <v>A</v>
      </c>
      <c r="C5" t="str">
        <v>Australia</v>
      </c>
      <c r="D5" t="str">
        <v>EA-18</v>
      </c>
      <c r="E5" t="str">
        <v>G</v>
      </c>
      <c r="F5" t="str">
        <v>itv</v>
      </c>
      <c r="G5">
        <v>3</v>
      </c>
      <c r="H5" t="str">
        <v>P</v>
      </c>
      <c r="I5">
        <v>100</v>
      </c>
      <c r="J5">
        <v>320</v>
      </c>
      <c r="K5">
        <v>230</v>
      </c>
      <c r="L5">
        <v>305</v>
      </c>
      <c r="M5">
        <v>0</v>
      </c>
      <c r="N5">
        <v>0</v>
      </c>
      <c r="O5">
        <v>0</v>
      </c>
    </row>
    <row r="6" spans="1:15" x14ac:dyDescent="0.3">
      <c r="A6" t="str">
        <v>KC-10</v>
      </c>
      <c r="B6" t="str">
        <v>A</v>
      </c>
      <c r="C6" t="str">
        <v>Australia</v>
      </c>
      <c r="D6" t="str">
        <v>F/A-18</v>
      </c>
      <c r="E6" t="str">
        <v>F</v>
      </c>
      <c r="F6" t="str">
        <v>itv</v>
      </c>
      <c r="G6">
        <v>3</v>
      </c>
      <c r="H6" t="str">
        <v>BDA</v>
      </c>
      <c r="I6">
        <v>100</v>
      </c>
      <c r="J6">
        <v>350</v>
      </c>
      <c r="K6">
        <v>200</v>
      </c>
      <c r="L6">
        <v>275</v>
      </c>
      <c r="M6">
        <v>0</v>
      </c>
      <c r="N6">
        <v>0</v>
      </c>
      <c r="O6">
        <v>0</v>
      </c>
    </row>
    <row r="7" spans="1:15" x14ac:dyDescent="0.3">
      <c r="A7" t="str">
        <v>KC-10</v>
      </c>
      <c r="B7" t="str">
        <v>A</v>
      </c>
      <c r="C7" t="str">
        <v>Australia</v>
      </c>
      <c r="D7" t="str">
        <v>EA-18</v>
      </c>
      <c r="E7" t="str">
        <v>G</v>
      </c>
      <c r="F7" t="str">
        <v>itv</v>
      </c>
      <c r="G7">
        <v>3</v>
      </c>
      <c r="H7" t="str">
        <v>BDA</v>
      </c>
      <c r="I7">
        <v>100</v>
      </c>
      <c r="J7">
        <v>350</v>
      </c>
      <c r="K7">
        <v>200</v>
      </c>
      <c r="L7">
        <v>275</v>
      </c>
      <c r="M7">
        <v>0</v>
      </c>
      <c r="N7">
        <v>0</v>
      </c>
      <c r="O7">
        <v>0</v>
      </c>
    </row>
    <row r="8" spans="1:15" x14ac:dyDescent="0.3">
      <c r="A8" t="str">
        <v>KC-10</v>
      </c>
      <c r="B8" t="str">
        <v>A</v>
      </c>
      <c r="C8" t="str">
        <v>Australia</v>
      </c>
      <c r="D8" t="str">
        <v>F-35</v>
      </c>
      <c r="E8" t="str">
        <v>A</v>
      </c>
      <c r="F8" t="str">
        <v>itv</v>
      </c>
      <c r="G8">
        <v>3</v>
      </c>
      <c r="H8" t="str">
        <v>B</v>
      </c>
      <c r="I8">
        <v>100</v>
      </c>
      <c r="J8">
        <v>300</v>
      </c>
      <c r="K8">
        <v>230</v>
      </c>
      <c r="L8">
        <v>350</v>
      </c>
      <c r="M8">
        <v>0</v>
      </c>
      <c r="N8">
        <v>0</v>
      </c>
      <c r="O8">
        <v>0</v>
      </c>
    </row>
    <row r="9" spans="1:15" x14ac:dyDescent="0.3">
      <c r="A9" t="str">
        <v>KC-135</v>
      </c>
      <c r="B9" t="str">
        <v>R</v>
      </c>
      <c r="C9" t="str">
        <v>Australia</v>
      </c>
      <c r="D9" t="str">
        <v>C-17</v>
      </c>
      <c r="E9" t="str">
        <v>A</v>
      </c>
      <c r="F9" t="str">
        <v>itv</v>
      </c>
      <c r="G9">
        <v>3</v>
      </c>
      <c r="H9" t="str">
        <v>B</v>
      </c>
      <c r="I9">
        <v>120</v>
      </c>
      <c r="J9">
        <v>310</v>
      </c>
      <c r="K9">
        <v>260</v>
      </c>
      <c r="L9">
        <v>270</v>
      </c>
      <c r="M9">
        <v>0</v>
      </c>
      <c r="N9">
        <v>0</v>
      </c>
      <c r="O9">
        <v>0</v>
      </c>
    </row>
    <row r="10" spans="1:15" x14ac:dyDescent="0.3">
      <c r="A10" t="str">
        <v>KC-135</v>
      </c>
      <c r="B10" t="str">
        <v>T</v>
      </c>
      <c r="C10" t="str">
        <v>Australia</v>
      </c>
      <c r="D10" t="str">
        <v>C-17</v>
      </c>
      <c r="E10" t="str">
        <v>A</v>
      </c>
      <c r="F10" t="str">
        <v>itv</v>
      </c>
      <c r="G10">
        <v>3</v>
      </c>
      <c r="H10" t="str">
        <v>B</v>
      </c>
      <c r="I10">
        <v>120</v>
      </c>
      <c r="J10">
        <v>310</v>
      </c>
      <c r="K10">
        <v>260</v>
      </c>
      <c r="L10">
        <v>270</v>
      </c>
      <c r="M10">
        <v>0</v>
      </c>
      <c r="N10">
        <v>0</v>
      </c>
      <c r="O10">
        <v>0</v>
      </c>
    </row>
    <row r="11" spans="1:15" x14ac:dyDescent="0.3">
      <c r="A11" t="str">
        <v>KC-135</v>
      </c>
      <c r="B11" t="str">
        <v>R</v>
      </c>
      <c r="C11" t="str">
        <v>Australia</v>
      </c>
      <c r="D11" t="str">
        <v>E-7</v>
      </c>
      <c r="E11" t="str">
        <v>A</v>
      </c>
      <c r="F11" t="str">
        <v>itv</v>
      </c>
      <c r="G11">
        <v>3</v>
      </c>
      <c r="H11" t="str">
        <v>B</v>
      </c>
      <c r="I11">
        <v>200</v>
      </c>
      <c r="J11">
        <v>300</v>
      </c>
      <c r="K11">
        <v>250</v>
      </c>
      <c r="L11">
        <v>290</v>
      </c>
      <c r="M11">
        <v>0</v>
      </c>
      <c r="N11">
        <v>0</v>
      </c>
      <c r="O11">
        <v>0</v>
      </c>
    </row>
    <row r="12" spans="1:15" x14ac:dyDescent="0.3">
      <c r="A12" t="str">
        <v>KC-135</v>
      </c>
      <c r="B12" t="str">
        <v>T</v>
      </c>
      <c r="C12" t="str">
        <v>Australia</v>
      </c>
      <c r="D12" t="str">
        <v>E-7</v>
      </c>
      <c r="E12" t="str">
        <v>A</v>
      </c>
      <c r="F12" t="str">
        <v>itv</v>
      </c>
      <c r="G12">
        <v>3</v>
      </c>
      <c r="H12" t="str">
        <v>B</v>
      </c>
      <c r="I12">
        <v>200</v>
      </c>
      <c r="J12">
        <v>300</v>
      </c>
      <c r="K12">
        <v>250</v>
      </c>
      <c r="L12">
        <v>290</v>
      </c>
      <c r="M12">
        <v>0</v>
      </c>
      <c r="N12">
        <v>0</v>
      </c>
      <c r="O12">
        <v>0</v>
      </c>
    </row>
    <row r="13" spans="1:15" x14ac:dyDescent="0.3">
      <c r="A13" t="str">
        <v>KC-135</v>
      </c>
      <c r="B13" t="str">
        <v>R</v>
      </c>
      <c r="C13" t="str">
        <v>Australia</v>
      </c>
      <c r="D13" t="str">
        <v>F/A-18</v>
      </c>
      <c r="E13" t="str">
        <v>F</v>
      </c>
      <c r="F13" t="str">
        <v>itv</v>
      </c>
      <c r="G13">
        <v>3</v>
      </c>
      <c r="H13" t="str">
        <v>BDA</v>
      </c>
      <c r="I13">
        <v>100</v>
      </c>
      <c r="J13">
        <v>285</v>
      </c>
      <c r="K13">
        <v>200</v>
      </c>
      <c r="L13">
        <v>275</v>
      </c>
      <c r="M13">
        <v>0</v>
      </c>
      <c r="N13">
        <v>0</v>
      </c>
      <c r="O13">
        <v>0</v>
      </c>
    </row>
    <row r="14" spans="1:15" x14ac:dyDescent="0.3">
      <c r="A14" t="str">
        <v>KC-135</v>
      </c>
      <c r="B14" t="str">
        <v>T</v>
      </c>
      <c r="C14" t="str">
        <v>Australia</v>
      </c>
      <c r="D14" t="str">
        <v>F/A-18</v>
      </c>
      <c r="E14" t="str">
        <v>F</v>
      </c>
      <c r="F14" t="str">
        <v>itv</v>
      </c>
      <c r="G14">
        <v>3</v>
      </c>
      <c r="H14" t="str">
        <v>BDA</v>
      </c>
      <c r="I14">
        <v>100</v>
      </c>
      <c r="J14">
        <v>285</v>
      </c>
      <c r="K14">
        <v>200</v>
      </c>
      <c r="L14">
        <v>275</v>
      </c>
      <c r="M14">
        <v>0</v>
      </c>
      <c r="N14">
        <v>0</v>
      </c>
      <c r="O14">
        <v>0</v>
      </c>
    </row>
    <row r="15" spans="1:15" x14ac:dyDescent="0.3">
      <c r="A15" t="str">
        <v>KC-135</v>
      </c>
      <c r="B15" t="str">
        <v>R</v>
      </c>
      <c r="C15" t="str">
        <v>Australia</v>
      </c>
      <c r="D15" t="str">
        <v>F/A-18</v>
      </c>
      <c r="E15" t="str">
        <v>F</v>
      </c>
      <c r="F15" t="str">
        <v>itv</v>
      </c>
      <c r="G15">
        <v>3</v>
      </c>
      <c r="H15" t="str">
        <v>P</v>
      </c>
      <c r="I15">
        <v>100</v>
      </c>
      <c r="J15">
        <v>350</v>
      </c>
      <c r="K15">
        <v>220</v>
      </c>
      <c r="L15">
        <v>300</v>
      </c>
      <c r="M15">
        <v>0</v>
      </c>
      <c r="N15">
        <v>0</v>
      </c>
      <c r="O15">
        <v>0</v>
      </c>
    </row>
    <row r="16" spans="1:15" x14ac:dyDescent="0.3">
      <c r="A16" t="str">
        <v>KC-135</v>
      </c>
      <c r="B16" t="str">
        <v>T</v>
      </c>
      <c r="C16" t="str">
        <v>Australia</v>
      </c>
      <c r="D16" t="str">
        <v>F/A-18</v>
      </c>
      <c r="E16" t="str">
        <v>F</v>
      </c>
      <c r="F16" t="str">
        <v>itv</v>
      </c>
      <c r="G16">
        <v>3</v>
      </c>
      <c r="H16" t="str">
        <v>P</v>
      </c>
      <c r="I16">
        <v>100</v>
      </c>
      <c r="J16">
        <v>350</v>
      </c>
      <c r="K16">
        <v>220</v>
      </c>
      <c r="L16">
        <v>300</v>
      </c>
      <c r="M16">
        <v>0</v>
      </c>
      <c r="N16">
        <v>0</v>
      </c>
      <c r="O16">
        <v>0</v>
      </c>
    </row>
    <row r="17" spans="1:15" x14ac:dyDescent="0.3">
      <c r="A17" t="str">
        <v>KC-135</v>
      </c>
      <c r="B17" t="str">
        <v>R</v>
      </c>
      <c r="C17" t="str">
        <v>Australia</v>
      </c>
      <c r="D17" t="str">
        <v>EA-18</v>
      </c>
      <c r="E17" t="str">
        <v>G</v>
      </c>
      <c r="F17" t="str">
        <v>itv</v>
      </c>
      <c r="G17">
        <v>3</v>
      </c>
      <c r="H17" t="str">
        <v>BDA</v>
      </c>
      <c r="I17">
        <v>100</v>
      </c>
      <c r="J17">
        <v>285</v>
      </c>
      <c r="K17">
        <v>200</v>
      </c>
      <c r="L17">
        <v>275</v>
      </c>
      <c r="M17">
        <v>0</v>
      </c>
      <c r="N17">
        <v>0</v>
      </c>
      <c r="O17">
        <v>0</v>
      </c>
    </row>
    <row r="18" spans="1:15" x14ac:dyDescent="0.3">
      <c r="A18" t="str">
        <v>KC-135</v>
      </c>
      <c r="B18" t="str">
        <v>T</v>
      </c>
      <c r="C18" t="str">
        <v>Australia</v>
      </c>
      <c r="D18" t="str">
        <v>EA-18</v>
      </c>
      <c r="E18" t="str">
        <v>G</v>
      </c>
      <c r="F18" t="str">
        <v>itv</v>
      </c>
      <c r="G18">
        <v>3</v>
      </c>
      <c r="H18" t="str">
        <v>BDA</v>
      </c>
      <c r="I18">
        <v>100</v>
      </c>
      <c r="J18">
        <v>285</v>
      </c>
      <c r="K18">
        <v>200</v>
      </c>
      <c r="L18">
        <v>275</v>
      </c>
      <c r="M18">
        <v>0</v>
      </c>
      <c r="N18">
        <v>0</v>
      </c>
      <c r="O18">
        <v>0</v>
      </c>
    </row>
    <row r="19" spans="1:15" x14ac:dyDescent="0.3">
      <c r="A19" t="str">
        <v>KC-135</v>
      </c>
      <c r="B19" t="str">
        <v>R</v>
      </c>
      <c r="C19" t="str">
        <v>Australia</v>
      </c>
      <c r="D19" t="str">
        <v>EA-18</v>
      </c>
      <c r="E19" t="str">
        <v>G</v>
      </c>
      <c r="F19" t="str">
        <v>itv</v>
      </c>
      <c r="G19">
        <v>3</v>
      </c>
      <c r="H19" t="str">
        <v>P</v>
      </c>
      <c r="I19">
        <v>100</v>
      </c>
      <c r="J19">
        <v>350</v>
      </c>
      <c r="K19">
        <v>220</v>
      </c>
      <c r="L19">
        <v>300</v>
      </c>
      <c r="M19">
        <v>0</v>
      </c>
      <c r="N19">
        <v>0</v>
      </c>
      <c r="O19">
        <v>0</v>
      </c>
    </row>
    <row r="20" spans="1:15" x14ac:dyDescent="0.3">
      <c r="A20" t="str">
        <v>KC-135</v>
      </c>
      <c r="B20" t="str">
        <v>T</v>
      </c>
      <c r="C20" t="str">
        <v>Australia</v>
      </c>
      <c r="D20" t="str">
        <v>EA-18</v>
      </c>
      <c r="E20" t="str">
        <v>G</v>
      </c>
      <c r="F20" t="str">
        <v>itv</v>
      </c>
      <c r="G20">
        <v>3</v>
      </c>
      <c r="H20" t="str">
        <v>P</v>
      </c>
      <c r="I20">
        <v>100</v>
      </c>
      <c r="J20">
        <v>350</v>
      </c>
      <c r="K20">
        <v>220</v>
      </c>
      <c r="L20">
        <v>300</v>
      </c>
      <c r="M20">
        <v>0</v>
      </c>
      <c r="N20">
        <v>0</v>
      </c>
      <c r="O20">
        <v>0</v>
      </c>
    </row>
    <row r="21" spans="1:15" x14ac:dyDescent="0.3">
      <c r="A21" t="str">
        <v>KC-135</v>
      </c>
      <c r="B21" t="str">
        <v>R</v>
      </c>
      <c r="C21" t="str">
        <v>Australia</v>
      </c>
      <c r="D21" t="str">
        <v>F-35</v>
      </c>
      <c r="E21" t="str">
        <v>A</v>
      </c>
      <c r="F21" t="str">
        <v>itv</v>
      </c>
      <c r="G21">
        <v>3</v>
      </c>
      <c r="H21" t="str">
        <v>B</v>
      </c>
      <c r="I21">
        <v>100</v>
      </c>
      <c r="J21">
        <v>300</v>
      </c>
      <c r="K21">
        <v>230</v>
      </c>
      <c r="L21">
        <v>350</v>
      </c>
      <c r="M21">
        <v>0</v>
      </c>
      <c r="N21">
        <v>0</v>
      </c>
      <c r="O21">
        <v>0</v>
      </c>
    </row>
    <row r="22" spans="1:15" x14ac:dyDescent="0.3">
      <c r="A22" t="str">
        <v>KC-135</v>
      </c>
      <c r="B22" t="str">
        <v>T</v>
      </c>
      <c r="C22" t="str">
        <v>Australia</v>
      </c>
      <c r="D22" t="str">
        <v>F-35</v>
      </c>
      <c r="E22" t="str">
        <v>A</v>
      </c>
      <c r="F22" t="str">
        <v>itv</v>
      </c>
      <c r="G22">
        <v>3</v>
      </c>
      <c r="H22" t="str">
        <v>B</v>
      </c>
      <c r="I22">
        <v>100</v>
      </c>
      <c r="J22">
        <v>300</v>
      </c>
      <c r="K22">
        <v>230</v>
      </c>
      <c r="L22">
        <v>350</v>
      </c>
      <c r="M22">
        <v>0</v>
      </c>
      <c r="N22">
        <v>0</v>
      </c>
      <c r="O22">
        <v>0</v>
      </c>
    </row>
    <row r="23" spans="1:15" x14ac:dyDescent="0.3">
      <c r="A23" t="str">
        <v>KC-135</v>
      </c>
      <c r="B23" t="str">
        <v>R</v>
      </c>
      <c r="C23" t="str">
        <v>Australia</v>
      </c>
      <c r="D23" t="str">
        <v>P-8</v>
      </c>
      <c r="E23" t="str">
        <v>A</v>
      </c>
      <c r="F23" t="str">
        <v>itv</v>
      </c>
      <c r="G23">
        <v>3</v>
      </c>
      <c r="H23" t="str">
        <v>B</v>
      </c>
      <c r="I23">
        <v>80</v>
      </c>
      <c r="J23">
        <v>280</v>
      </c>
      <c r="K23">
        <v>250</v>
      </c>
      <c r="L23">
        <v>300</v>
      </c>
      <c r="M23">
        <v>0</v>
      </c>
      <c r="N23">
        <v>0</v>
      </c>
      <c r="O23">
        <v>0</v>
      </c>
    </row>
    <row r="24" spans="1:15" x14ac:dyDescent="0.3">
      <c r="A24" t="str">
        <v>KC-135</v>
      </c>
      <c r="B24" t="str">
        <v>T</v>
      </c>
      <c r="C24" t="str">
        <v>Australia</v>
      </c>
      <c r="D24" t="str">
        <v>P-8</v>
      </c>
      <c r="E24" t="str">
        <v>A</v>
      </c>
      <c r="F24" t="str">
        <v>itv</v>
      </c>
      <c r="G24">
        <v>3</v>
      </c>
      <c r="H24" t="str">
        <v>B</v>
      </c>
      <c r="I24">
        <v>80</v>
      </c>
      <c r="J24">
        <v>280</v>
      </c>
      <c r="K24">
        <v>250</v>
      </c>
      <c r="L24">
        <v>300</v>
      </c>
      <c r="M24">
        <v>0</v>
      </c>
      <c r="N24">
        <v>0</v>
      </c>
      <c r="O24">
        <v>0</v>
      </c>
    </row>
    <row r="25" spans="1:15" x14ac:dyDescent="0.3">
      <c r="A25" t="str">
        <v>KC-46</v>
      </c>
      <c r="B25" t="str">
        <v>A</v>
      </c>
      <c r="C25" t="str">
        <v>Australia</v>
      </c>
      <c r="D25" t="str">
        <v>C-17</v>
      </c>
      <c r="E25" t="str">
        <v>A</v>
      </c>
      <c r="F25" t="str">
        <v>itv</v>
      </c>
      <c r="G25">
        <v>1</v>
      </c>
      <c r="H25" t="str">
        <v>B</v>
      </c>
      <c r="I25">
        <v>200</v>
      </c>
      <c r="J25">
        <v>310</v>
      </c>
      <c r="K25">
        <v>250</v>
      </c>
      <c r="L25">
        <v>290</v>
      </c>
      <c r="M25">
        <v>0</v>
      </c>
      <c r="N25">
        <v>0</v>
      </c>
      <c r="O25">
        <v>0</v>
      </c>
    </row>
    <row r="26" spans="1:15" x14ac:dyDescent="0.3">
      <c r="A26" t="str">
        <v>KC-46</v>
      </c>
      <c r="B26" t="str">
        <v>A</v>
      </c>
      <c r="C26" t="str">
        <v>Australia</v>
      </c>
      <c r="D26" t="str">
        <v>F/A-18</v>
      </c>
      <c r="E26" t="str">
        <v>F</v>
      </c>
      <c r="F26" t="str">
        <v>itv</v>
      </c>
      <c r="G26">
        <v>3</v>
      </c>
      <c r="H26" t="str">
        <v>BDA</v>
      </c>
      <c r="I26">
        <v>50</v>
      </c>
      <c r="J26">
        <v>350</v>
      </c>
      <c r="K26">
        <v>180</v>
      </c>
      <c r="L26">
        <v>300</v>
      </c>
      <c r="M26">
        <v>0</v>
      </c>
      <c r="N26">
        <v>0</v>
      </c>
      <c r="O26" t="str">
        <v>linear increase of minimum speed from 180 KCAS at FL200 to 255 KCAS at FL350</v>
      </c>
    </row>
    <row r="27" spans="1:15" x14ac:dyDescent="0.3">
      <c r="A27" t="str">
        <v>KC-46</v>
      </c>
      <c r="B27" t="str">
        <v>A</v>
      </c>
      <c r="C27" t="str">
        <v>Australia</v>
      </c>
      <c r="D27" t="str">
        <v>EA-18</v>
      </c>
      <c r="E27" t="str">
        <v>G</v>
      </c>
      <c r="F27" t="str">
        <v>itv</v>
      </c>
      <c r="G27">
        <v>3</v>
      </c>
      <c r="H27" t="str">
        <v>BDA</v>
      </c>
      <c r="I27">
        <v>50</v>
      </c>
      <c r="J27">
        <v>350</v>
      </c>
      <c r="K27">
        <v>180</v>
      </c>
      <c r="L27">
        <v>300</v>
      </c>
      <c r="M27">
        <v>0</v>
      </c>
      <c r="N27">
        <v>0</v>
      </c>
      <c r="O27" t="str">
        <v>linear increase of minimum speed from 180 KCAS at FL200 to 255 KCAS at FL350</v>
      </c>
    </row>
    <row r="28" spans="1:15" x14ac:dyDescent="0.3">
      <c r="A28" t="str">
        <v>KC-46</v>
      </c>
      <c r="B28" t="str">
        <v>A</v>
      </c>
      <c r="C28" t="str">
        <v>Australia</v>
      </c>
      <c r="D28" t="str">
        <v>F/A-18</v>
      </c>
      <c r="E28" t="str">
        <v>F</v>
      </c>
      <c r="F28" t="str">
        <v>itv</v>
      </c>
      <c r="G28">
        <v>3</v>
      </c>
      <c r="H28" t="str">
        <v>P</v>
      </c>
      <c r="I28">
        <v>50</v>
      </c>
      <c r="J28">
        <v>350</v>
      </c>
      <c r="K28">
        <v>200</v>
      </c>
      <c r="L28">
        <v>300</v>
      </c>
      <c r="M28">
        <v>0</v>
      </c>
      <c r="N28">
        <v>0</v>
      </c>
      <c r="O28" t="str">
        <v>linear increase of minimum speed from 200 KCAS at FL240 to 255 KCAS at FL350</v>
      </c>
    </row>
    <row r="29" spans="1:15" x14ac:dyDescent="0.3">
      <c r="A29" t="str">
        <v>KC-46</v>
      </c>
      <c r="B29" t="str">
        <v>A</v>
      </c>
      <c r="C29" t="str">
        <v>Australia</v>
      </c>
      <c r="D29" t="str">
        <v>EA-18</v>
      </c>
      <c r="E29" t="str">
        <v>G</v>
      </c>
      <c r="F29" t="str">
        <v>itv</v>
      </c>
      <c r="G29">
        <v>3</v>
      </c>
      <c r="H29" t="str">
        <v>P</v>
      </c>
      <c r="I29">
        <v>50</v>
      </c>
      <c r="J29">
        <v>350</v>
      </c>
      <c r="K29">
        <v>200</v>
      </c>
      <c r="L29">
        <v>300</v>
      </c>
      <c r="M29">
        <v>0</v>
      </c>
      <c r="N29">
        <v>0</v>
      </c>
      <c r="O29" t="str">
        <v>linear increase of minimum speed from 200 KCAS at FL240 to 255 KCAS at FL350</v>
      </c>
    </row>
    <row r="30" spans="1:15" x14ac:dyDescent="0.3">
      <c r="A30" t="str">
        <v>KC-46</v>
      </c>
      <c r="B30" t="str">
        <v>A</v>
      </c>
      <c r="C30" t="str">
        <v>Australia</v>
      </c>
      <c r="D30" t="str">
        <v>F-35</v>
      </c>
      <c r="E30" t="str">
        <v>A</v>
      </c>
      <c r="F30" t="str">
        <v>itv</v>
      </c>
      <c r="G30">
        <v>2</v>
      </c>
      <c r="H30" t="str">
        <v>B</v>
      </c>
      <c r="I30">
        <v>100</v>
      </c>
      <c r="J30">
        <v>350</v>
      </c>
      <c r="K30">
        <v>265</v>
      </c>
      <c r="L30">
        <v>325</v>
      </c>
      <c r="M30">
        <v>0</v>
      </c>
      <c r="N30">
        <v>0</v>
      </c>
      <c r="O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21</vt:i4>
      </vt:variant>
    </vt:vector>
  </HeadingPairs>
  <TitlesOfParts>
    <vt:vector size="21" baseType="lpstr">
      <vt:lpstr>Tankers</vt:lpstr>
      <vt:lpstr>Receivers</vt:lpstr>
      <vt:lpstr>Specifications</vt:lpstr>
      <vt:lpstr>Australia</vt:lpstr>
      <vt:lpstr>Canada</vt:lpstr>
      <vt:lpstr>France</vt:lpstr>
      <vt:lpstr>Germany</vt:lpstr>
      <vt:lpstr>Italy</vt:lpstr>
      <vt:lpstr>Japan</vt:lpstr>
      <vt:lpstr>Malaysia</vt:lpstr>
      <vt:lpstr>MMF</vt:lpstr>
      <vt:lpstr>MSM</vt:lpstr>
      <vt:lpstr>NATO</vt:lpstr>
      <vt:lpstr>Omega</vt:lpstr>
      <vt:lpstr>Singapore</vt:lpstr>
      <vt:lpstr>South Korea</vt:lpstr>
      <vt:lpstr>Spain</vt:lpstr>
      <vt:lpstr>Sweden</vt:lpstr>
      <vt:lpstr>Turkey</vt:lpstr>
      <vt:lpstr>UK</vt:lpstr>
      <vt:lpstr>USA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Westerhout</dc:creator>
  <cp:lastModifiedBy>Eva Westerhout</cp:lastModifiedBy>
  <dcterms:created xsi:type="dcterms:W3CDTF">2025-10-29T11:31:57Z</dcterms:created>
  <dcterms:modified xsi:type="dcterms:W3CDTF">2025-12-10T16:05:01Z</dcterms:modified>
</cp:coreProperties>
</file>