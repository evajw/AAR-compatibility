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T:\"/>
    </mc:Choice>
  </mc:AlternateContent>
  <bookViews>
    <workbookView xWindow="-105" yWindow="-105" windowWidth="23250" windowHeight="12450" activeTab="2"/>
  </bookViews>
  <sheets>
    <sheet name="Tankers" sheetId="1" r:id="rId1"/>
    <sheet name="Receivers" sheetId="2" r:id="rId2"/>
    <sheet name="Specifications" sheetId="3" r:id="rId3"/>
    <sheet name="Australia" sheetId="4" r:id="rId4"/>
    <sheet name="Canada" sheetId="5" r:id="rId5"/>
    <sheet name="France" sheetId="6" r:id="rId6"/>
    <sheet name="Germany" sheetId="7" r:id="rId7"/>
    <sheet name="Italy" sheetId="8" r:id="rId8"/>
    <sheet name="Japan" sheetId="9" r:id="rId9"/>
    <sheet name="Malaysia" sheetId="10" r:id="rId10"/>
    <sheet name="MMF" sheetId="11" r:id="rId11"/>
    <sheet name="MSM" sheetId="12" r:id="rId12"/>
    <sheet name="NATO" sheetId="13" r:id="rId13"/>
    <sheet name="Omega" sheetId="14" r:id="rId14"/>
    <sheet name="Singapore" sheetId="15" r:id="rId15"/>
    <sheet name="South-Korea" sheetId="16" r:id="rId16"/>
    <sheet name="Spain" sheetId="17" r:id="rId17"/>
    <sheet name="Sweden" sheetId="18" r:id="rId18"/>
    <sheet name="Turkey" sheetId="19" r:id="rId19"/>
    <sheet name="UK" sheetId="20" r:id="rId20"/>
    <sheet name="USA" sheetId="21" r:id="rId21"/>
  </sheets>
  <definedNames>
    <definedName name="_xlnm._FilterDatabase" localSheetId="2" hidden="1">Specifications!$C$1:$C$339</definedName>
  </definedNames>
  <calcPr calcId="162913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7" i="3" l="1"/>
  <c r="Q266" i="3"/>
  <c r="Q265" i="3"/>
  <c r="Q264" i="3"/>
  <c r="Q263" i="3"/>
  <c r="Q262" i="3"/>
  <c r="Q261" i="3"/>
  <c r="Q260" i="3"/>
  <c r="Q259" i="3"/>
  <c r="Q258" i="3"/>
  <c r="Q256" i="3"/>
  <c r="Q257" i="3"/>
  <c r="Q251" i="3"/>
  <c r="Q252" i="3"/>
  <c r="Q253" i="3"/>
  <c r="Q254" i="3"/>
  <c r="Q255" i="3"/>
  <c r="Q250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37" i="3"/>
  <c r="Q236" i="3"/>
  <c r="Q235" i="3"/>
  <c r="Q234" i="3"/>
  <c r="Q233" i="3"/>
  <c r="Q232" i="3"/>
  <c r="A2" i="21" a="1"/>
  <c r="A2" i="17" a="1"/>
  <c r="A2" i="13" a="1"/>
  <c r="A2" i="9" a="1"/>
  <c r="A2" i="4" a="1"/>
  <c r="A2" i="20" a="1"/>
  <c r="A2" i="16" a="1"/>
  <c r="A2" i="12" a="1"/>
  <c r="A2" i="8" a="1"/>
  <c r="A2" i="19" a="1"/>
  <c r="A2" i="15" a="1"/>
  <c r="A2" i="11" a="1"/>
  <c r="A2" i="7" a="1"/>
  <c r="A2" i="5" a="1"/>
  <c r="A2" i="18" a="1"/>
  <c r="A2" i="14" a="1"/>
  <c r="A2" i="10" a="1"/>
  <c r="A2" i="6" a="1"/>
  <c r="A2" i="6" l="1"/>
  <c r="A2" i="10"/>
  <c r="A2" i="14"/>
  <c r="A2" i="18"/>
  <c r="A2" i="5"/>
  <c r="A2" i="7"/>
  <c r="A2" i="11"/>
  <c r="A2" i="15"/>
  <c r="A2" i="19"/>
  <c r="A2" i="8"/>
  <c r="A2" i="12"/>
  <c r="A2" i="16"/>
  <c r="A2" i="20"/>
  <c r="A2" i="4"/>
  <c r="A2" i="9"/>
  <c r="A2" i="13"/>
  <c r="A2" i="17"/>
  <c r="A2" i="21"/>
  <c r="Q231" i="3"/>
  <c r="Q230" i="3"/>
  <c r="Q229" i="3"/>
  <c r="Q228" i="3"/>
  <c r="Q227" i="3"/>
  <c r="Q225" i="3"/>
  <c r="Q226" i="3"/>
  <c r="Q224" i="3"/>
  <c r="Q152" i="3" l="1"/>
  <c r="Q151" i="3"/>
  <c r="Q150" i="3"/>
  <c r="Q149" i="3"/>
  <c r="Q78" i="3" l="1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6" i="3"/>
  <c r="Q57" i="3"/>
  <c r="Q51" i="3"/>
  <c r="Q52" i="3"/>
  <c r="Q53" i="3"/>
  <c r="Q54" i="3"/>
  <c r="Q55" i="3"/>
  <c r="Q50" i="3"/>
  <c r="Q49" i="3"/>
  <c r="Q48" i="3"/>
  <c r="Q47" i="3"/>
  <c r="Q46" i="3"/>
  <c r="Q45" i="3"/>
  <c r="Q40" i="3"/>
  <c r="Q41" i="3"/>
  <c r="Q43" i="3"/>
  <c r="Q42" i="3"/>
  <c r="Q5" i="3"/>
  <c r="Q4" i="3"/>
  <c r="Q37" i="3"/>
  <c r="Q36" i="3"/>
  <c r="Q35" i="3"/>
  <c r="Q34" i="3"/>
  <c r="Q33" i="3"/>
  <c r="Q32" i="3"/>
  <c r="Q31" i="3"/>
  <c r="Q39" i="3"/>
  <c r="Q30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14" i="3"/>
  <c r="Q13" i="3"/>
  <c r="Q12" i="3"/>
  <c r="Q11" i="3"/>
  <c r="Q38" i="3"/>
  <c r="Q8" i="3"/>
  <c r="Q7" i="3"/>
  <c r="Q6" i="3"/>
  <c r="Q10" i="3"/>
  <c r="Q9" i="3"/>
  <c r="Q3" i="3"/>
  <c r="Q2" i="3"/>
  <c r="A2" i="2" a="1"/>
  <c r="A2" i="1" a="1"/>
  <c r="A2" i="1" l="1"/>
  <c r="A2" i="2"/>
  <c r="Q92" i="21"/>
  <c r="P92" i="21"/>
  <c r="O92" i="21"/>
  <c r="N92" i="21"/>
  <c r="M92" i="21"/>
  <c r="L92" i="21"/>
  <c r="K92" i="21"/>
  <c r="J92" i="21"/>
  <c r="I92" i="21"/>
  <c r="H92" i="21"/>
  <c r="G92" i="21"/>
  <c r="F92" i="21"/>
  <c r="E92" i="21"/>
  <c r="D92" i="21"/>
  <c r="C92" i="21"/>
  <c r="B92" i="21"/>
  <c r="A92" i="21"/>
  <c r="Q91" i="21"/>
  <c r="P91" i="21"/>
  <c r="O91" i="21"/>
  <c r="N91" i="21"/>
  <c r="M91" i="21"/>
  <c r="L91" i="21"/>
  <c r="K91" i="21"/>
  <c r="J91" i="21"/>
  <c r="I91" i="21"/>
  <c r="H91" i="21"/>
  <c r="G91" i="21"/>
  <c r="F91" i="21"/>
  <c r="E91" i="21"/>
  <c r="D91" i="21"/>
  <c r="C91" i="21"/>
  <c r="B91" i="21"/>
  <c r="A91" i="21"/>
  <c r="Q90" i="21"/>
  <c r="P90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C90" i="21"/>
  <c r="B90" i="21"/>
  <c r="A90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A89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A88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A87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A86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A85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A84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A83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A82" i="21"/>
  <c r="Q81" i="21"/>
  <c r="P81" i="21"/>
  <c r="O81" i="21"/>
  <c r="N81" i="21"/>
  <c r="M81" i="21"/>
  <c r="L81" i="21"/>
  <c r="K81" i="21"/>
  <c r="J81" i="21"/>
  <c r="I81" i="21"/>
  <c r="H81" i="21"/>
  <c r="G81" i="21"/>
  <c r="F81" i="21"/>
  <c r="E81" i="21"/>
  <c r="D81" i="21"/>
  <c r="C81" i="21"/>
  <c r="B81" i="21"/>
  <c r="A81" i="21"/>
  <c r="Q80" i="21"/>
  <c r="P80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C80" i="21"/>
  <c r="B80" i="21"/>
  <c r="A80" i="21"/>
  <c r="Q79" i="21"/>
  <c r="P79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C79" i="21"/>
  <c r="B79" i="21"/>
  <c r="A79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A78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A77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A76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A75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A74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A73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A72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A71" i="21"/>
  <c r="Q70" i="21"/>
  <c r="P70" i="21"/>
  <c r="O70" i="21"/>
  <c r="N70" i="21"/>
  <c r="M70" i="21"/>
  <c r="L70" i="21"/>
  <c r="K70" i="21"/>
  <c r="J70" i="21"/>
  <c r="I70" i="21"/>
  <c r="H70" i="21"/>
  <c r="G70" i="21"/>
  <c r="F70" i="21"/>
  <c r="E70" i="21"/>
  <c r="D70" i="21"/>
  <c r="C70" i="21"/>
  <c r="B70" i="21"/>
  <c r="A70" i="21"/>
  <c r="Q69" i="21"/>
  <c r="P69" i="21"/>
  <c r="O69" i="21"/>
  <c r="N69" i="21"/>
  <c r="M69" i="21"/>
  <c r="L69" i="21"/>
  <c r="K69" i="21"/>
  <c r="J69" i="21"/>
  <c r="I69" i="21"/>
  <c r="H69" i="21"/>
  <c r="G69" i="21"/>
  <c r="F69" i="21"/>
  <c r="E69" i="21"/>
  <c r="D69" i="21"/>
  <c r="C69" i="21"/>
  <c r="B69" i="21"/>
  <c r="A69" i="21"/>
  <c r="Q68" i="21"/>
  <c r="P68" i="21"/>
  <c r="O68" i="21"/>
  <c r="N68" i="21"/>
  <c r="M68" i="21"/>
  <c r="L68" i="21"/>
  <c r="K68" i="21"/>
  <c r="J68" i="21"/>
  <c r="I68" i="21"/>
  <c r="H68" i="21"/>
  <c r="G68" i="21"/>
  <c r="F68" i="21"/>
  <c r="E68" i="21"/>
  <c r="D68" i="21"/>
  <c r="C68" i="21"/>
  <c r="B68" i="21"/>
  <c r="A68" i="21"/>
  <c r="Q67" i="21"/>
  <c r="P67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C67" i="21"/>
  <c r="B67" i="21"/>
  <c r="A67" i="21"/>
  <c r="Q66" i="21"/>
  <c r="P66" i="21"/>
  <c r="O66" i="21"/>
  <c r="N66" i="21"/>
  <c r="M66" i="21"/>
  <c r="L66" i="21"/>
  <c r="K66" i="21"/>
  <c r="J66" i="21"/>
  <c r="I66" i="21"/>
  <c r="H66" i="21"/>
  <c r="G66" i="21"/>
  <c r="F66" i="21"/>
  <c r="E66" i="21"/>
  <c r="D66" i="21"/>
  <c r="C66" i="21"/>
  <c r="B66" i="21"/>
  <c r="A66" i="21"/>
  <c r="Q65" i="21"/>
  <c r="P65" i="21"/>
  <c r="O65" i="21"/>
  <c r="N65" i="21"/>
  <c r="M65" i="21"/>
  <c r="L65" i="21"/>
  <c r="K65" i="21"/>
  <c r="J65" i="21"/>
  <c r="I65" i="21"/>
  <c r="H65" i="21"/>
  <c r="G65" i="21"/>
  <c r="F65" i="21"/>
  <c r="E65" i="21"/>
  <c r="D65" i="21"/>
  <c r="C65" i="21"/>
  <c r="B65" i="21"/>
  <c r="A65" i="21"/>
  <c r="Q64" i="21"/>
  <c r="P64" i="21"/>
  <c r="O64" i="21"/>
  <c r="N64" i="21"/>
  <c r="M64" i="21"/>
  <c r="L64" i="21"/>
  <c r="K64" i="21"/>
  <c r="J64" i="21"/>
  <c r="I64" i="21"/>
  <c r="H64" i="21"/>
  <c r="G64" i="21"/>
  <c r="F64" i="21"/>
  <c r="E64" i="21"/>
  <c r="D64" i="21"/>
  <c r="C64" i="21"/>
  <c r="B64" i="21"/>
  <c r="A64" i="21"/>
  <c r="Q63" i="21"/>
  <c r="P63" i="21"/>
  <c r="O63" i="21"/>
  <c r="N63" i="21"/>
  <c r="M63" i="21"/>
  <c r="L63" i="21"/>
  <c r="K63" i="21"/>
  <c r="J63" i="21"/>
  <c r="I63" i="21"/>
  <c r="H63" i="21"/>
  <c r="G63" i="21"/>
  <c r="F63" i="21"/>
  <c r="E63" i="21"/>
  <c r="D63" i="21"/>
  <c r="C63" i="21"/>
  <c r="B63" i="21"/>
  <c r="A63" i="21"/>
  <c r="Q62" i="21"/>
  <c r="P62" i="21"/>
  <c r="O62" i="21"/>
  <c r="N62" i="21"/>
  <c r="M62" i="21"/>
  <c r="L62" i="21"/>
  <c r="K62" i="21"/>
  <c r="J62" i="21"/>
  <c r="I62" i="21"/>
  <c r="H62" i="21"/>
  <c r="G62" i="21"/>
  <c r="F62" i="21"/>
  <c r="E62" i="21"/>
  <c r="D62" i="21"/>
  <c r="C62" i="21"/>
  <c r="B62" i="21"/>
  <c r="A62" i="21"/>
  <c r="Q61" i="21"/>
  <c r="P61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C61" i="21"/>
  <c r="B61" i="21"/>
  <c r="A61" i="21"/>
  <c r="Q60" i="21"/>
  <c r="P60" i="21"/>
  <c r="O60" i="21"/>
  <c r="N60" i="21"/>
  <c r="M60" i="21"/>
  <c r="L60" i="21"/>
  <c r="K60" i="21"/>
  <c r="J60" i="21"/>
  <c r="I60" i="21"/>
  <c r="H60" i="21"/>
  <c r="G60" i="21"/>
  <c r="F60" i="21"/>
  <c r="E60" i="21"/>
  <c r="D60" i="21"/>
  <c r="C60" i="21"/>
  <c r="B60" i="21"/>
  <c r="A60" i="21"/>
  <c r="Q59" i="21"/>
  <c r="P59" i="21"/>
  <c r="O59" i="21"/>
  <c r="N59" i="21"/>
  <c r="M59" i="21"/>
  <c r="L59" i="21"/>
  <c r="K59" i="21"/>
  <c r="J59" i="21"/>
  <c r="I59" i="21"/>
  <c r="H59" i="21"/>
  <c r="G59" i="21"/>
  <c r="F59" i="21"/>
  <c r="E59" i="21"/>
  <c r="D59" i="21"/>
  <c r="C59" i="21"/>
  <c r="B59" i="21"/>
  <c r="A59" i="21"/>
  <c r="Q58" i="21"/>
  <c r="P58" i="21"/>
  <c r="O58" i="21"/>
  <c r="N58" i="21"/>
  <c r="M58" i="21"/>
  <c r="L58" i="21"/>
  <c r="K58" i="21"/>
  <c r="J58" i="21"/>
  <c r="I58" i="21"/>
  <c r="H58" i="21"/>
  <c r="G58" i="21"/>
  <c r="F58" i="21"/>
  <c r="E58" i="21"/>
  <c r="D58" i="21"/>
  <c r="C58" i="21"/>
  <c r="B58" i="21"/>
  <c r="A58" i="21"/>
  <c r="Q57" i="21"/>
  <c r="P57" i="21"/>
  <c r="O57" i="21"/>
  <c r="N57" i="21"/>
  <c r="M57" i="21"/>
  <c r="L57" i="21"/>
  <c r="K57" i="21"/>
  <c r="J57" i="21"/>
  <c r="I57" i="21"/>
  <c r="H57" i="21"/>
  <c r="G57" i="21"/>
  <c r="F57" i="21"/>
  <c r="E57" i="21"/>
  <c r="D57" i="21"/>
  <c r="C57" i="21"/>
  <c r="B57" i="21"/>
  <c r="A57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A56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A55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A54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A53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A52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A51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A50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A49" i="21"/>
  <c r="Q48" i="21"/>
  <c r="P48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C48" i="21"/>
  <c r="B48" i="21"/>
  <c r="A48" i="21"/>
  <c r="Q47" i="21"/>
  <c r="P47" i="21"/>
  <c r="O47" i="21"/>
  <c r="N47" i="21"/>
  <c r="M47" i="21"/>
  <c r="L47" i="21"/>
  <c r="K47" i="21"/>
  <c r="J47" i="21"/>
  <c r="I47" i="21"/>
  <c r="H47" i="21"/>
  <c r="G47" i="21"/>
  <c r="F47" i="21"/>
  <c r="E47" i="21"/>
  <c r="D47" i="21"/>
  <c r="C47" i="21"/>
  <c r="B47" i="21"/>
  <c r="A47" i="21"/>
  <c r="Q46" i="21"/>
  <c r="P46" i="21"/>
  <c r="O46" i="21"/>
  <c r="N46" i="21"/>
  <c r="M46" i="21"/>
  <c r="L46" i="21"/>
  <c r="K46" i="21"/>
  <c r="J46" i="21"/>
  <c r="I46" i="21"/>
  <c r="H46" i="21"/>
  <c r="G46" i="21"/>
  <c r="F46" i="21"/>
  <c r="E46" i="21"/>
  <c r="D46" i="21"/>
  <c r="C46" i="21"/>
  <c r="B46" i="21"/>
  <c r="A46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A45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A44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A43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A42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A41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A40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A39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A38" i="21"/>
  <c r="Q37" i="21"/>
  <c r="P37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C37" i="21"/>
  <c r="B37" i="21"/>
  <c r="A37" i="21"/>
  <c r="Q36" i="21"/>
  <c r="P36" i="21"/>
  <c r="O36" i="21"/>
  <c r="N36" i="21"/>
  <c r="M36" i="21"/>
  <c r="L36" i="21"/>
  <c r="K36" i="21"/>
  <c r="J36" i="21"/>
  <c r="I36" i="21"/>
  <c r="H36" i="21"/>
  <c r="G36" i="21"/>
  <c r="F36" i="21"/>
  <c r="E36" i="21"/>
  <c r="D36" i="21"/>
  <c r="C36" i="21"/>
  <c r="B36" i="21"/>
  <c r="A36" i="21"/>
  <c r="Q35" i="21"/>
  <c r="P35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C35" i="21"/>
  <c r="B35" i="21"/>
  <c r="A35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A34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A33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A32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A31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A30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A29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A28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A27" i="21"/>
  <c r="Q26" i="21"/>
  <c r="P26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C26" i="21"/>
  <c r="B26" i="21"/>
  <c r="A26" i="21"/>
  <c r="Q25" i="21"/>
  <c r="P25" i="21"/>
  <c r="O25" i="21"/>
  <c r="N25" i="21"/>
  <c r="M25" i="21"/>
  <c r="L25" i="21"/>
  <c r="K25" i="21"/>
  <c r="J25" i="21"/>
  <c r="I25" i="21"/>
  <c r="H25" i="21"/>
  <c r="G25" i="21"/>
  <c r="F25" i="21"/>
  <c r="E25" i="21"/>
  <c r="D25" i="21"/>
  <c r="C25" i="21"/>
  <c r="B25" i="21"/>
  <c r="A25" i="21"/>
  <c r="Q24" i="21"/>
  <c r="P24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C24" i="21"/>
  <c r="B24" i="21"/>
  <c r="A24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A23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A22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A21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A20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A19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A18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A17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A16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E15" i="21"/>
  <c r="D15" i="21"/>
  <c r="C15" i="21"/>
  <c r="B15" i="21"/>
  <c r="A15" i="21"/>
  <c r="Q14" i="21"/>
  <c r="P14" i="21"/>
  <c r="O14" i="21"/>
  <c r="N14" i="21"/>
  <c r="M14" i="21"/>
  <c r="L14" i="21"/>
  <c r="K14" i="21"/>
  <c r="J14" i="21"/>
  <c r="I14" i="21"/>
  <c r="H14" i="21"/>
  <c r="G14" i="21"/>
  <c r="F14" i="21"/>
  <c r="E14" i="21"/>
  <c r="D14" i="21"/>
  <c r="C14" i="21"/>
  <c r="B14" i="21"/>
  <c r="A14" i="21"/>
  <c r="Q13" i="21"/>
  <c r="P13" i="21"/>
  <c r="O13" i="21"/>
  <c r="N13" i="21"/>
  <c r="M13" i="21"/>
  <c r="L13" i="21"/>
  <c r="K13" i="21"/>
  <c r="J13" i="21"/>
  <c r="I13" i="21"/>
  <c r="H13" i="21"/>
  <c r="G13" i="21"/>
  <c r="F13" i="21"/>
  <c r="E13" i="21"/>
  <c r="D13" i="21"/>
  <c r="C13" i="21"/>
  <c r="B13" i="21"/>
  <c r="A13" i="21"/>
  <c r="Q12" i="21"/>
  <c r="P12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C12" i="21"/>
  <c r="B12" i="21"/>
  <c r="A12" i="21"/>
  <c r="Q11" i="21"/>
  <c r="P11" i="21"/>
  <c r="O11" i="21"/>
  <c r="N11" i="21"/>
  <c r="M11" i="21"/>
  <c r="L11" i="21"/>
  <c r="K11" i="21"/>
  <c r="J11" i="21"/>
  <c r="I11" i="21"/>
  <c r="H11" i="21"/>
  <c r="G11" i="21"/>
  <c r="F11" i="21"/>
  <c r="E11" i="21"/>
  <c r="D11" i="21"/>
  <c r="C11" i="21"/>
  <c r="B11" i="21"/>
  <c r="A11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B10" i="21"/>
  <c r="A10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B9" i="21"/>
  <c r="A9" i="21"/>
  <c r="Q8" i="21"/>
  <c r="P8" i="21"/>
  <c r="O8" i="21"/>
  <c r="N8" i="21"/>
  <c r="M8" i="21"/>
  <c r="L8" i="21"/>
  <c r="K8" i="21"/>
  <c r="J8" i="21"/>
  <c r="I8" i="21"/>
  <c r="H8" i="21"/>
  <c r="G8" i="21"/>
  <c r="F8" i="21"/>
  <c r="E8" i="21"/>
  <c r="D8" i="21"/>
  <c r="C8" i="21"/>
  <c r="B8" i="21"/>
  <c r="A8" i="21"/>
  <c r="Q7" i="21"/>
  <c r="P7" i="21"/>
  <c r="O7" i="21"/>
  <c r="N7" i="21"/>
  <c r="M7" i="21"/>
  <c r="L7" i="21"/>
  <c r="K7" i="21"/>
  <c r="J7" i="21"/>
  <c r="I7" i="21"/>
  <c r="H7" i="21"/>
  <c r="G7" i="21"/>
  <c r="F7" i="21"/>
  <c r="E7" i="21"/>
  <c r="D7" i="21"/>
  <c r="C7" i="21"/>
  <c r="B7" i="21"/>
  <c r="A7" i="21"/>
  <c r="Q6" i="21"/>
  <c r="P6" i="21"/>
  <c r="O6" i="21"/>
  <c r="N6" i="21"/>
  <c r="M6" i="21"/>
  <c r="L6" i="21"/>
  <c r="K6" i="21"/>
  <c r="J6" i="21"/>
  <c r="I6" i="21"/>
  <c r="H6" i="21"/>
  <c r="G6" i="21"/>
  <c r="F6" i="21"/>
  <c r="E6" i="21"/>
  <c r="D6" i="21"/>
  <c r="C6" i="21"/>
  <c r="B6" i="21"/>
  <c r="A6" i="21"/>
  <c r="Q5" i="21"/>
  <c r="P5" i="21"/>
  <c r="O5" i="21"/>
  <c r="N5" i="21"/>
  <c r="M5" i="21"/>
  <c r="L5" i="21"/>
  <c r="K5" i="21"/>
  <c r="J5" i="21"/>
  <c r="I5" i="21"/>
  <c r="H5" i="21"/>
  <c r="G5" i="21"/>
  <c r="F5" i="21"/>
  <c r="E5" i="21"/>
  <c r="D5" i="21"/>
  <c r="C5" i="21"/>
  <c r="B5" i="21"/>
  <c r="A5" i="21"/>
  <c r="Q4" i="21"/>
  <c r="P4" i="21"/>
  <c r="O4" i="21"/>
  <c r="N4" i="21"/>
  <c r="M4" i="21"/>
  <c r="L4" i="21"/>
  <c r="K4" i="21"/>
  <c r="J4" i="21"/>
  <c r="I4" i="21"/>
  <c r="H4" i="21"/>
  <c r="G4" i="21"/>
  <c r="F4" i="21"/>
  <c r="E4" i="21"/>
  <c r="D4" i="21"/>
  <c r="C4" i="21"/>
  <c r="B4" i="21"/>
  <c r="A4" i="21"/>
  <c r="Q3" i="21"/>
  <c r="P3" i="21"/>
  <c r="O3" i="21"/>
  <c r="N3" i="21"/>
  <c r="M3" i="21"/>
  <c r="L3" i="21"/>
  <c r="K3" i="21"/>
  <c r="J3" i="21"/>
  <c r="I3" i="21"/>
  <c r="H3" i="21"/>
  <c r="G3" i="21"/>
  <c r="F3" i="21"/>
  <c r="E3" i="21"/>
  <c r="D3" i="21"/>
  <c r="C3" i="21"/>
  <c r="B3" i="21"/>
  <c r="A3" i="21"/>
  <c r="Q2" i="21"/>
  <c r="P2" i="21"/>
  <c r="O2" i="21"/>
  <c r="N2" i="21"/>
  <c r="M2" i="21"/>
  <c r="L2" i="21"/>
  <c r="K2" i="21"/>
  <c r="J2" i="21"/>
  <c r="I2" i="21"/>
  <c r="H2" i="21"/>
  <c r="G2" i="21"/>
  <c r="F2" i="21"/>
  <c r="E2" i="21"/>
  <c r="D2" i="21"/>
  <c r="C2" i="21"/>
  <c r="B2" i="21"/>
  <c r="Q3" i="20"/>
  <c r="P3" i="20"/>
  <c r="O3" i="20"/>
  <c r="N3" i="20"/>
  <c r="M3" i="20"/>
  <c r="L3" i="20"/>
  <c r="K3" i="20"/>
  <c r="J3" i="20"/>
  <c r="I3" i="20"/>
  <c r="H3" i="20"/>
  <c r="G3" i="20"/>
  <c r="F3" i="20"/>
  <c r="E3" i="20"/>
  <c r="D3" i="20"/>
  <c r="C3" i="20"/>
  <c r="B3" i="20"/>
  <c r="A3" i="20"/>
  <c r="Q2" i="20"/>
  <c r="P2" i="20"/>
  <c r="O2" i="20"/>
  <c r="N2" i="20"/>
  <c r="M2" i="20"/>
  <c r="L2" i="20"/>
  <c r="K2" i="20"/>
  <c r="J2" i="20"/>
  <c r="I2" i="20"/>
  <c r="H2" i="20"/>
  <c r="G2" i="20"/>
  <c r="F2" i="20"/>
  <c r="E2" i="20"/>
  <c r="D2" i="20"/>
  <c r="C2" i="20"/>
  <c r="B2" i="20"/>
  <c r="Q8" i="16"/>
  <c r="P8" i="16"/>
  <c r="O8" i="16"/>
  <c r="N8" i="16"/>
  <c r="M8" i="16"/>
  <c r="L8" i="16"/>
  <c r="K8" i="16"/>
  <c r="J8" i="16"/>
  <c r="I8" i="16"/>
  <c r="H8" i="16"/>
  <c r="G8" i="16"/>
  <c r="F8" i="16"/>
  <c r="E8" i="16"/>
  <c r="D8" i="16"/>
  <c r="C8" i="16"/>
  <c r="B8" i="16"/>
  <c r="A8" i="16"/>
  <c r="Q7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Q6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Q4" i="16"/>
  <c r="P4" i="16"/>
  <c r="O4" i="16"/>
  <c r="N4" i="16"/>
  <c r="M4" i="16"/>
  <c r="L4" i="16"/>
  <c r="K4" i="16"/>
  <c r="J4" i="16"/>
  <c r="I4" i="16"/>
  <c r="H4" i="16"/>
  <c r="G4" i="16"/>
  <c r="F4" i="16"/>
  <c r="E4" i="16"/>
  <c r="D4" i="16"/>
  <c r="C4" i="16"/>
  <c r="B4" i="16"/>
  <c r="A4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C2" i="16"/>
  <c r="B2" i="16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8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7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6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5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4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3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A6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A5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A4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A3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B9" i="12"/>
  <c r="A9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B8" i="12"/>
  <c r="A8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Q114" i="11"/>
  <c r="P114" i="11"/>
  <c r="O114" i="11"/>
  <c r="N114" i="11"/>
  <c r="M114" i="11"/>
  <c r="L114" i="11"/>
  <c r="K114" i="11"/>
  <c r="J114" i="11"/>
  <c r="I114" i="11"/>
  <c r="H114" i="11"/>
  <c r="G114" i="11"/>
  <c r="F114" i="11"/>
  <c r="E114" i="11"/>
  <c r="D114" i="11"/>
  <c r="C114" i="11"/>
  <c r="B114" i="11"/>
  <c r="A114" i="11"/>
  <c r="Q113" i="11"/>
  <c r="P113" i="11"/>
  <c r="O113" i="11"/>
  <c r="N113" i="11"/>
  <c r="M113" i="11"/>
  <c r="L113" i="11"/>
  <c r="K113" i="11"/>
  <c r="J113" i="11"/>
  <c r="I113" i="11"/>
  <c r="H113" i="11"/>
  <c r="G113" i="11"/>
  <c r="F113" i="11"/>
  <c r="E113" i="11"/>
  <c r="D113" i="11"/>
  <c r="C113" i="11"/>
  <c r="B113" i="11"/>
  <c r="A113" i="11"/>
  <c r="Q112" i="11"/>
  <c r="P112" i="11"/>
  <c r="O112" i="11"/>
  <c r="N112" i="11"/>
  <c r="M112" i="11"/>
  <c r="L112" i="11"/>
  <c r="K112" i="11"/>
  <c r="J112" i="11"/>
  <c r="I112" i="11"/>
  <c r="H112" i="11"/>
  <c r="G112" i="11"/>
  <c r="F112" i="11"/>
  <c r="E112" i="11"/>
  <c r="D112" i="11"/>
  <c r="C112" i="11"/>
  <c r="B112" i="11"/>
  <c r="A112" i="11"/>
  <c r="Q111" i="11"/>
  <c r="P111" i="11"/>
  <c r="O111" i="11"/>
  <c r="N111" i="11"/>
  <c r="M111" i="11"/>
  <c r="L111" i="11"/>
  <c r="K111" i="11"/>
  <c r="J111" i="11"/>
  <c r="I111" i="11"/>
  <c r="H111" i="11"/>
  <c r="G111" i="11"/>
  <c r="F111" i="11"/>
  <c r="E111" i="11"/>
  <c r="D111" i="11"/>
  <c r="C111" i="11"/>
  <c r="B111" i="11"/>
  <c r="A111" i="11"/>
  <c r="Q110" i="11"/>
  <c r="P110" i="1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C110" i="11"/>
  <c r="B110" i="11"/>
  <c r="A110" i="11"/>
  <c r="Q109" i="11"/>
  <c r="P109" i="11"/>
  <c r="O109" i="1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B109" i="11"/>
  <c r="A109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A108" i="11"/>
  <c r="Q107" i="11"/>
  <c r="P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Q106" i="11"/>
  <c r="P106" i="11"/>
  <c r="O106" i="11"/>
  <c r="N106" i="11"/>
  <c r="M106" i="11"/>
  <c r="L106" i="11"/>
  <c r="K106" i="11"/>
  <c r="J106" i="11"/>
  <c r="I106" i="11"/>
  <c r="H106" i="11"/>
  <c r="G106" i="11"/>
  <c r="F106" i="11"/>
  <c r="E106" i="11"/>
  <c r="D106" i="11"/>
  <c r="C106" i="11"/>
  <c r="B106" i="11"/>
  <c r="A106" i="11"/>
  <c r="Q105" i="11"/>
  <c r="P105" i="11"/>
  <c r="O105" i="11"/>
  <c r="N105" i="11"/>
  <c r="M105" i="11"/>
  <c r="L105" i="11"/>
  <c r="K105" i="11"/>
  <c r="J105" i="11"/>
  <c r="I105" i="11"/>
  <c r="H105" i="11"/>
  <c r="G105" i="11"/>
  <c r="F105" i="11"/>
  <c r="E105" i="11"/>
  <c r="D105" i="11"/>
  <c r="C105" i="11"/>
  <c r="B105" i="11"/>
  <c r="A105" i="11"/>
  <c r="Q104" i="11"/>
  <c r="P104" i="11"/>
  <c r="O104" i="11"/>
  <c r="N104" i="11"/>
  <c r="M104" i="11"/>
  <c r="L104" i="11"/>
  <c r="K104" i="11"/>
  <c r="J104" i="11"/>
  <c r="I104" i="11"/>
  <c r="H104" i="11"/>
  <c r="G104" i="11"/>
  <c r="F104" i="11"/>
  <c r="E104" i="11"/>
  <c r="D104" i="11"/>
  <c r="C104" i="11"/>
  <c r="B104" i="11"/>
  <c r="A104" i="11"/>
  <c r="Q103" i="11"/>
  <c r="P103" i="1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Q102" i="11"/>
  <c r="P102" i="11"/>
  <c r="O102" i="11"/>
  <c r="N102" i="11"/>
  <c r="M102" i="11"/>
  <c r="L102" i="11"/>
  <c r="K102" i="11"/>
  <c r="J102" i="11"/>
  <c r="I102" i="11"/>
  <c r="H102" i="11"/>
  <c r="G102" i="11"/>
  <c r="F102" i="11"/>
  <c r="E102" i="11"/>
  <c r="D102" i="11"/>
  <c r="C102" i="11"/>
  <c r="B102" i="11"/>
  <c r="A102" i="11"/>
  <c r="Q101" i="11"/>
  <c r="P101" i="11"/>
  <c r="O101" i="11"/>
  <c r="N101" i="11"/>
  <c r="M101" i="11"/>
  <c r="L101" i="11"/>
  <c r="K101" i="11"/>
  <c r="J101" i="11"/>
  <c r="I101" i="11"/>
  <c r="H101" i="11"/>
  <c r="G101" i="11"/>
  <c r="F101" i="11"/>
  <c r="E101" i="11"/>
  <c r="D101" i="11"/>
  <c r="C101" i="11"/>
  <c r="B101" i="11"/>
  <c r="A101" i="11"/>
  <c r="Q100" i="11"/>
  <c r="P100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C100" i="11"/>
  <c r="B100" i="11"/>
  <c r="A100" i="11"/>
  <c r="Q99" i="11"/>
  <c r="P99" i="11"/>
  <c r="O99" i="11"/>
  <c r="N99" i="11"/>
  <c r="M99" i="11"/>
  <c r="L99" i="11"/>
  <c r="K99" i="11"/>
  <c r="J99" i="11"/>
  <c r="I99" i="11"/>
  <c r="H99" i="11"/>
  <c r="G99" i="11"/>
  <c r="F99" i="11"/>
  <c r="E99" i="11"/>
  <c r="D99" i="11"/>
  <c r="C99" i="11"/>
  <c r="B99" i="11"/>
  <c r="A99" i="11"/>
  <c r="Q98" i="11"/>
  <c r="P98" i="11"/>
  <c r="O98" i="11"/>
  <c r="N98" i="11"/>
  <c r="M98" i="11"/>
  <c r="L98" i="11"/>
  <c r="K98" i="11"/>
  <c r="J98" i="11"/>
  <c r="I98" i="11"/>
  <c r="H98" i="11"/>
  <c r="G98" i="11"/>
  <c r="F98" i="11"/>
  <c r="E98" i="11"/>
  <c r="D98" i="11"/>
  <c r="C98" i="11"/>
  <c r="B98" i="11"/>
  <c r="A98" i="11"/>
  <c r="Q97" i="11"/>
  <c r="P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A97" i="11"/>
  <c r="Q96" i="11"/>
  <c r="P96" i="11"/>
  <c r="O96" i="11"/>
  <c r="N96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Q95" i="11"/>
  <c r="P95" i="11"/>
  <c r="O95" i="11"/>
  <c r="N95" i="11"/>
  <c r="M95" i="11"/>
  <c r="L95" i="11"/>
  <c r="K95" i="11"/>
  <c r="J95" i="11"/>
  <c r="I95" i="11"/>
  <c r="H95" i="11"/>
  <c r="G95" i="11"/>
  <c r="F95" i="11"/>
  <c r="E95" i="11"/>
  <c r="D95" i="11"/>
  <c r="C95" i="11"/>
  <c r="B95" i="11"/>
  <c r="A95" i="11"/>
  <c r="Q94" i="11"/>
  <c r="P94" i="11"/>
  <c r="O94" i="11"/>
  <c r="N94" i="11"/>
  <c r="M94" i="11"/>
  <c r="L94" i="11"/>
  <c r="K94" i="11"/>
  <c r="J94" i="11"/>
  <c r="I94" i="11"/>
  <c r="H94" i="11"/>
  <c r="G94" i="11"/>
  <c r="F94" i="11"/>
  <c r="E94" i="11"/>
  <c r="D94" i="11"/>
  <c r="C94" i="11"/>
  <c r="B94" i="11"/>
  <c r="A94" i="11"/>
  <c r="Q93" i="11"/>
  <c r="P93" i="11"/>
  <c r="O93" i="11"/>
  <c r="N93" i="11"/>
  <c r="M93" i="11"/>
  <c r="L93" i="11"/>
  <c r="K93" i="11"/>
  <c r="J93" i="11"/>
  <c r="I93" i="11"/>
  <c r="H93" i="11"/>
  <c r="G93" i="11"/>
  <c r="F93" i="11"/>
  <c r="E93" i="11"/>
  <c r="D93" i="11"/>
  <c r="C93" i="11"/>
  <c r="B93" i="11"/>
  <c r="A93" i="11"/>
  <c r="Q92" i="11"/>
  <c r="P92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C92" i="11"/>
  <c r="B92" i="11"/>
  <c r="A92" i="11"/>
  <c r="Q91" i="11"/>
  <c r="P91" i="11"/>
  <c r="O91" i="11"/>
  <c r="N91" i="11"/>
  <c r="M91" i="11"/>
  <c r="L91" i="11"/>
  <c r="K91" i="11"/>
  <c r="J91" i="11"/>
  <c r="I91" i="11"/>
  <c r="H91" i="11"/>
  <c r="G91" i="11"/>
  <c r="F91" i="11"/>
  <c r="E91" i="11"/>
  <c r="D91" i="11"/>
  <c r="C91" i="11"/>
  <c r="B91" i="11"/>
  <c r="A91" i="11"/>
  <c r="Q90" i="11"/>
  <c r="P90" i="11"/>
  <c r="O90" i="11"/>
  <c r="N90" i="11"/>
  <c r="M90" i="11"/>
  <c r="L90" i="11"/>
  <c r="K90" i="11"/>
  <c r="J90" i="11"/>
  <c r="I90" i="11"/>
  <c r="H90" i="11"/>
  <c r="G90" i="11"/>
  <c r="F90" i="11"/>
  <c r="E90" i="11"/>
  <c r="D90" i="11"/>
  <c r="C90" i="11"/>
  <c r="B90" i="11"/>
  <c r="A90" i="11"/>
  <c r="Q89" i="11"/>
  <c r="P89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C89" i="11"/>
  <c r="B89" i="11"/>
  <c r="A89" i="11"/>
  <c r="Q88" i="11"/>
  <c r="P88" i="11"/>
  <c r="O88" i="11"/>
  <c r="N88" i="11"/>
  <c r="M88" i="11"/>
  <c r="L88" i="11"/>
  <c r="K88" i="11"/>
  <c r="J88" i="11"/>
  <c r="I88" i="11"/>
  <c r="H88" i="11"/>
  <c r="G88" i="11"/>
  <c r="F88" i="11"/>
  <c r="E88" i="11"/>
  <c r="D88" i="11"/>
  <c r="C88" i="11"/>
  <c r="B88" i="11"/>
  <c r="A88" i="11"/>
  <c r="Q87" i="11"/>
  <c r="P87" i="11"/>
  <c r="O87" i="11"/>
  <c r="N87" i="11"/>
  <c r="M87" i="11"/>
  <c r="L87" i="11"/>
  <c r="K87" i="11"/>
  <c r="J87" i="11"/>
  <c r="I87" i="11"/>
  <c r="H87" i="11"/>
  <c r="G87" i="11"/>
  <c r="F87" i="11"/>
  <c r="E87" i="11"/>
  <c r="D87" i="11"/>
  <c r="C87" i="11"/>
  <c r="B87" i="11"/>
  <c r="A87" i="11"/>
  <c r="Q86" i="11"/>
  <c r="P86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C86" i="11"/>
  <c r="B86" i="11"/>
  <c r="A86" i="11"/>
  <c r="Q85" i="11"/>
  <c r="P85" i="11"/>
  <c r="O85" i="11"/>
  <c r="N85" i="11"/>
  <c r="M85" i="11"/>
  <c r="L85" i="11"/>
  <c r="K85" i="11"/>
  <c r="J85" i="11"/>
  <c r="I85" i="11"/>
  <c r="H85" i="11"/>
  <c r="G85" i="11"/>
  <c r="F85" i="11"/>
  <c r="E85" i="11"/>
  <c r="D85" i="11"/>
  <c r="C85" i="11"/>
  <c r="B85" i="11"/>
  <c r="A85" i="11"/>
  <c r="Q84" i="11"/>
  <c r="P84" i="11"/>
  <c r="O84" i="11"/>
  <c r="N84" i="11"/>
  <c r="M84" i="11"/>
  <c r="L84" i="11"/>
  <c r="K84" i="11"/>
  <c r="J84" i="11"/>
  <c r="I84" i="11"/>
  <c r="H84" i="11"/>
  <c r="G84" i="11"/>
  <c r="F84" i="11"/>
  <c r="E84" i="11"/>
  <c r="D84" i="11"/>
  <c r="C84" i="11"/>
  <c r="B84" i="11"/>
  <c r="A84" i="11"/>
  <c r="Q83" i="11"/>
  <c r="P83" i="11"/>
  <c r="O83" i="11"/>
  <c r="N83" i="11"/>
  <c r="M83" i="11"/>
  <c r="L83" i="11"/>
  <c r="K83" i="11"/>
  <c r="J83" i="11"/>
  <c r="I83" i="11"/>
  <c r="H83" i="11"/>
  <c r="G83" i="11"/>
  <c r="F83" i="11"/>
  <c r="E83" i="11"/>
  <c r="D83" i="11"/>
  <c r="C83" i="11"/>
  <c r="B83" i="11"/>
  <c r="A83" i="11"/>
  <c r="Q82" i="11"/>
  <c r="P82" i="11"/>
  <c r="O82" i="11"/>
  <c r="N82" i="1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Q81" i="11"/>
  <c r="P81" i="11"/>
  <c r="O81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A81" i="11"/>
  <c r="Q80" i="11"/>
  <c r="P80" i="11"/>
  <c r="O80" i="11"/>
  <c r="N80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Q79" i="11"/>
  <c r="P79" i="11"/>
  <c r="O79" i="11"/>
  <c r="N79" i="11"/>
  <c r="M79" i="11"/>
  <c r="L79" i="11"/>
  <c r="K79" i="11"/>
  <c r="J79" i="11"/>
  <c r="I79" i="11"/>
  <c r="H79" i="11"/>
  <c r="G79" i="11"/>
  <c r="F79" i="11"/>
  <c r="E79" i="11"/>
  <c r="D79" i="11"/>
  <c r="C79" i="11"/>
  <c r="B79" i="11"/>
  <c r="A79" i="11"/>
  <c r="Q78" i="11"/>
  <c r="P78" i="11"/>
  <c r="O78" i="11"/>
  <c r="N78" i="11"/>
  <c r="M78" i="11"/>
  <c r="L78" i="11"/>
  <c r="K78" i="11"/>
  <c r="J78" i="11"/>
  <c r="I78" i="11"/>
  <c r="H78" i="11"/>
  <c r="G78" i="11"/>
  <c r="F78" i="11"/>
  <c r="E78" i="11"/>
  <c r="D78" i="11"/>
  <c r="C78" i="11"/>
  <c r="B78" i="11"/>
  <c r="A78" i="11"/>
  <c r="Q77" i="11"/>
  <c r="P77" i="11"/>
  <c r="O77" i="11"/>
  <c r="N77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A77" i="11"/>
  <c r="Q76" i="11"/>
  <c r="P76" i="11"/>
  <c r="O76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B76" i="11"/>
  <c r="A76" i="11"/>
  <c r="Q75" i="11"/>
  <c r="P75" i="11"/>
  <c r="O75" i="11"/>
  <c r="N75" i="11"/>
  <c r="M75" i="11"/>
  <c r="L75" i="11"/>
  <c r="K75" i="11"/>
  <c r="J75" i="11"/>
  <c r="I75" i="11"/>
  <c r="H75" i="11"/>
  <c r="G75" i="11"/>
  <c r="F75" i="11"/>
  <c r="E75" i="11"/>
  <c r="D75" i="11"/>
  <c r="C75" i="11"/>
  <c r="B75" i="11"/>
  <c r="A75" i="11"/>
  <c r="Q74" i="11"/>
  <c r="P74" i="11"/>
  <c r="O74" i="11"/>
  <c r="N74" i="11"/>
  <c r="M74" i="11"/>
  <c r="L74" i="11"/>
  <c r="K74" i="11"/>
  <c r="J74" i="11"/>
  <c r="I74" i="11"/>
  <c r="H74" i="11"/>
  <c r="G74" i="11"/>
  <c r="F74" i="11"/>
  <c r="E74" i="11"/>
  <c r="D74" i="11"/>
  <c r="C74" i="11"/>
  <c r="B74" i="11"/>
  <c r="A74" i="11"/>
  <c r="Q73" i="11"/>
  <c r="P73" i="11"/>
  <c r="O73" i="11"/>
  <c r="N73" i="11"/>
  <c r="M73" i="11"/>
  <c r="L73" i="11"/>
  <c r="K73" i="11"/>
  <c r="J73" i="11"/>
  <c r="I73" i="11"/>
  <c r="H73" i="11"/>
  <c r="G73" i="11"/>
  <c r="F73" i="11"/>
  <c r="E73" i="11"/>
  <c r="D73" i="11"/>
  <c r="C73" i="11"/>
  <c r="B73" i="11"/>
  <c r="A73" i="11"/>
  <c r="Q72" i="11"/>
  <c r="P72" i="11"/>
  <c r="O72" i="1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A72" i="11"/>
  <c r="Q71" i="11"/>
  <c r="P71" i="11"/>
  <c r="O71" i="11"/>
  <c r="N71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A71" i="11"/>
  <c r="Q70" i="11"/>
  <c r="P70" i="11"/>
  <c r="O70" i="11"/>
  <c r="N70" i="11"/>
  <c r="M70" i="11"/>
  <c r="L70" i="11"/>
  <c r="K70" i="11"/>
  <c r="J70" i="11"/>
  <c r="I70" i="11"/>
  <c r="H70" i="11"/>
  <c r="G70" i="11"/>
  <c r="F70" i="11"/>
  <c r="E70" i="11"/>
  <c r="D70" i="11"/>
  <c r="C70" i="11"/>
  <c r="B70" i="11"/>
  <c r="A70" i="11"/>
  <c r="Q69" i="11"/>
  <c r="P69" i="11"/>
  <c r="O69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A69" i="11"/>
  <c r="Q68" i="11"/>
  <c r="P68" i="11"/>
  <c r="O68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A68" i="11"/>
  <c r="Q67" i="11"/>
  <c r="P67" i="11"/>
  <c r="O67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A67" i="11"/>
  <c r="Q66" i="11"/>
  <c r="P66" i="11"/>
  <c r="O66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A66" i="11"/>
  <c r="Q65" i="11"/>
  <c r="P65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A65" i="11"/>
  <c r="Q64" i="11"/>
  <c r="P64" i="11"/>
  <c r="O64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A64" i="11"/>
  <c r="Q63" i="11"/>
  <c r="P63" i="11"/>
  <c r="O63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A63" i="11"/>
  <c r="Q62" i="11"/>
  <c r="P62" i="11"/>
  <c r="O62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A62" i="11"/>
  <c r="Q61" i="11"/>
  <c r="P61" i="11"/>
  <c r="O61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A61" i="11"/>
  <c r="Q60" i="11"/>
  <c r="P60" i="11"/>
  <c r="O60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A60" i="11"/>
  <c r="Q59" i="11"/>
  <c r="P59" i="11"/>
  <c r="O59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A59" i="11"/>
  <c r="Q58" i="11"/>
  <c r="P58" i="11"/>
  <c r="O58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A58" i="11"/>
  <c r="Q57" i="11"/>
  <c r="P57" i="11"/>
  <c r="O57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A57" i="11"/>
  <c r="Q56" i="11"/>
  <c r="P56" i="11"/>
  <c r="O56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A56" i="11"/>
  <c r="Q55" i="11"/>
  <c r="P55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A55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A54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A53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A52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A51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A50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A49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A48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47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A46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45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A44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A43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A42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A41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A40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A39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A38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A37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A36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35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A34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A33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A32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A31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A30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A27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A22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A21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A20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A19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A18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A12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11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A10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A9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A8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7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A6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A5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B4" i="11"/>
  <c r="A4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B3" i="11"/>
  <c r="A3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B2" i="11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B8" i="9"/>
  <c r="A8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A7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A6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5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A4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B3" i="9"/>
  <c r="A3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B2" i="9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8"/>
  <c r="A8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A19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A18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17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A16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A15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A14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A13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A12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A11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A10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A9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B8" i="6"/>
  <c r="A8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B3" i="5"/>
  <c r="A3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C78" i="2"/>
  <c r="B78" i="2"/>
  <c r="A78" i="2"/>
  <c r="C77" i="2"/>
  <c r="B77" i="2"/>
  <c r="A77" i="2"/>
  <c r="C76" i="2"/>
  <c r="B76" i="2"/>
  <c r="A76" i="2"/>
  <c r="C75" i="2"/>
  <c r="B75" i="2"/>
  <c r="A75" i="2"/>
  <c r="C74" i="2"/>
  <c r="B74" i="2"/>
  <c r="A74" i="2"/>
  <c r="C73" i="2"/>
  <c r="B73" i="2"/>
  <c r="A73" i="2"/>
  <c r="C72" i="2"/>
  <c r="B72" i="2"/>
  <c r="A72" i="2"/>
  <c r="C71" i="2"/>
  <c r="B71" i="2"/>
  <c r="A71" i="2"/>
  <c r="C70" i="2"/>
  <c r="B70" i="2"/>
  <c r="A70" i="2"/>
  <c r="C69" i="2"/>
  <c r="B69" i="2"/>
  <c r="A69" i="2"/>
  <c r="C68" i="2"/>
  <c r="B68" i="2"/>
  <c r="A68" i="2"/>
  <c r="C67" i="2"/>
  <c r="B67" i="2"/>
  <c r="A67" i="2"/>
  <c r="C66" i="2"/>
  <c r="B66" i="2"/>
  <c r="A66" i="2"/>
  <c r="C65" i="2"/>
  <c r="B65" i="2"/>
  <c r="A65" i="2"/>
  <c r="C64" i="2"/>
  <c r="B64" i="2"/>
  <c r="A64" i="2"/>
  <c r="C63" i="2"/>
  <c r="B63" i="2"/>
  <c r="A63" i="2"/>
  <c r="C62" i="2"/>
  <c r="B62" i="2"/>
  <c r="A62" i="2"/>
  <c r="C61" i="2"/>
  <c r="B61" i="2"/>
  <c r="A61" i="2"/>
  <c r="C60" i="2"/>
  <c r="B60" i="2"/>
  <c r="A60" i="2"/>
  <c r="C59" i="2"/>
  <c r="B59" i="2"/>
  <c r="A59" i="2"/>
  <c r="C58" i="2"/>
  <c r="B58" i="2"/>
  <c r="A58" i="2"/>
  <c r="C57" i="2"/>
  <c r="B57" i="2"/>
  <c r="A57" i="2"/>
  <c r="C56" i="2"/>
  <c r="B56" i="2"/>
  <c r="A56" i="2"/>
  <c r="C55" i="2"/>
  <c r="B55" i="2"/>
  <c r="A55" i="2"/>
  <c r="C54" i="2"/>
  <c r="B54" i="2"/>
  <c r="A54" i="2"/>
  <c r="C53" i="2"/>
  <c r="B53" i="2"/>
  <c r="A53" i="2"/>
  <c r="C52" i="2"/>
  <c r="B52" i="2"/>
  <c r="A52" i="2"/>
  <c r="C51" i="2"/>
  <c r="B51" i="2"/>
  <c r="A51" i="2"/>
  <c r="C50" i="2"/>
  <c r="B50" i="2"/>
  <c r="A50" i="2"/>
  <c r="C49" i="2"/>
  <c r="B49" i="2"/>
  <c r="A49" i="2"/>
  <c r="C48" i="2"/>
  <c r="B48" i="2"/>
  <c r="A48" i="2"/>
  <c r="C47" i="2"/>
  <c r="B47" i="2"/>
  <c r="A47" i="2"/>
  <c r="C46" i="2"/>
  <c r="B46" i="2"/>
  <c r="A46" i="2"/>
  <c r="C45" i="2"/>
  <c r="B45" i="2"/>
  <c r="A45" i="2"/>
  <c r="C44" i="2"/>
  <c r="B44" i="2"/>
  <c r="A44" i="2"/>
  <c r="C43" i="2"/>
  <c r="B43" i="2"/>
  <c r="A43" i="2"/>
  <c r="C42" i="2"/>
  <c r="B42" i="2"/>
  <c r="A42" i="2"/>
  <c r="C41" i="2"/>
  <c r="B41" i="2"/>
  <c r="A41" i="2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A30" i="2"/>
  <c r="C29" i="2"/>
  <c r="B29" i="2"/>
  <c r="A29" i="2"/>
  <c r="C28" i="2"/>
  <c r="B28" i="2"/>
  <c r="A28" i="2"/>
  <c r="C27" i="2"/>
  <c r="B27" i="2"/>
  <c r="A27" i="2"/>
  <c r="C26" i="2"/>
  <c r="B26" i="2"/>
  <c r="A26" i="2"/>
  <c r="C25" i="2"/>
  <c r="B25" i="2"/>
  <c r="A25" i="2"/>
  <c r="C24" i="2"/>
  <c r="B24" i="2"/>
  <c r="A24" i="2"/>
  <c r="C23" i="2"/>
  <c r="B23" i="2"/>
  <c r="A23" i="2"/>
  <c r="C22" i="2"/>
  <c r="B22" i="2"/>
  <c r="A22" i="2"/>
  <c r="C21" i="2"/>
  <c r="B21" i="2"/>
  <c r="A21" i="2"/>
  <c r="C20" i="2"/>
  <c r="B20" i="2"/>
  <c r="A20" i="2"/>
  <c r="C19" i="2"/>
  <c r="B19" i="2"/>
  <c r="A19" i="2"/>
  <c r="C18" i="2"/>
  <c r="B18" i="2"/>
  <c r="A18" i="2"/>
  <c r="C17" i="2"/>
  <c r="B17" i="2"/>
  <c r="A17" i="2"/>
  <c r="C16" i="2"/>
  <c r="B16" i="2"/>
  <c r="A16" i="2"/>
  <c r="C15" i="2"/>
  <c r="B15" i="2"/>
  <c r="A15" i="2"/>
  <c r="C14" i="2"/>
  <c r="B14" i="2"/>
  <c r="A14" i="2"/>
  <c r="C13" i="2"/>
  <c r="B13" i="2"/>
  <c r="A13" i="2"/>
  <c r="C12" i="2"/>
  <c r="B12" i="2"/>
  <c r="A12" i="2"/>
  <c r="C11" i="2"/>
  <c r="B11" i="2"/>
  <c r="A11" i="2"/>
  <c r="C10" i="2"/>
  <c r="B10" i="2"/>
  <c r="A10" i="2"/>
  <c r="C9" i="2"/>
  <c r="B9" i="2"/>
  <c r="A9" i="2"/>
  <c r="C8" i="2"/>
  <c r="B8" i="2"/>
  <c r="A8" i="2"/>
  <c r="C7" i="2"/>
  <c r="B7" i="2"/>
  <c r="A7" i="2"/>
  <c r="C6" i="2"/>
  <c r="B6" i="2"/>
  <c r="A6" i="2"/>
  <c r="C5" i="2"/>
  <c r="B5" i="2"/>
  <c r="A5" i="2"/>
  <c r="C4" i="2"/>
  <c r="B4" i="2"/>
  <c r="A4" i="2"/>
  <c r="C3" i="2"/>
  <c r="B3" i="2"/>
  <c r="A3" i="2"/>
  <c r="C2" i="2"/>
  <c r="B2" i="2"/>
  <c r="C14" i="1"/>
  <c r="B14" i="1"/>
  <c r="A14" i="1"/>
  <c r="C13" i="1"/>
  <c r="B13" i="1"/>
  <c r="A13" i="1"/>
  <c r="C12" i="1"/>
  <c r="B12" i="1"/>
  <c r="A12" i="1"/>
  <c r="C11" i="1"/>
  <c r="B11" i="1"/>
  <c r="A11" i="1"/>
  <c r="C10" i="1"/>
  <c r="B10" i="1"/>
  <c r="A10" i="1"/>
  <c r="C9" i="1"/>
  <c r="B9" i="1"/>
  <c r="A9" i="1"/>
  <c r="C8" i="1"/>
  <c r="B8" i="1"/>
  <c r="A8" i="1"/>
  <c r="C7" i="1"/>
  <c r="B7" i="1"/>
  <c r="A7" i="1"/>
  <c r="C6" i="1"/>
  <c r="B6" i="1"/>
  <c r="A6" i="1"/>
  <c r="C5" i="1"/>
  <c r="B5" i="1"/>
  <c r="A5" i="1"/>
  <c r="C4" i="1"/>
  <c r="B4" i="1"/>
  <c r="A4" i="1"/>
  <c r="C3" i="1"/>
  <c r="B3" i="1"/>
  <c r="A3" i="1"/>
  <c r="C2" i="1"/>
  <c r="B2" i="1"/>
</calcChain>
</file>

<file path=xl/comments1.xml><?xml version="1.0" encoding="utf-8"?>
<comments xmlns="http://schemas.openxmlformats.org/spreadsheetml/2006/main">
  <authors>
    <author>Eva Westerhout</author>
  </authors>
  <commentLis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O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Q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  <comment ref="N103" authorId="0" shapeId="0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15" authorId="0" shapeId="0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18" authorId="0" shapeId="0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20" authorId="0" shapeId="0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24" authorId="0" shapeId="0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26" authorId="0" shapeId="0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</commentList>
</comments>
</file>

<file path=xl/comments2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3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4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5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6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7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8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9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0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1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2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3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4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5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6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7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8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9.xml><?xml version="1.0" encoding="utf-8"?>
<comments xmlns="http://schemas.openxmlformats.org/spreadsheetml/2006/main">
  <authors>
    <author>Eva Westerhout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<sst xmlns="http://schemas.openxmlformats.org/spreadsheetml/2006/main" count="3699" uniqueCount="195">
  <si>
    <t>C-17</t>
  </si>
  <si>
    <t>USA</t>
  </si>
  <si>
    <t>Australia</t>
  </si>
  <si>
    <t>type</t>
  </si>
  <si>
    <t>model</t>
  </si>
  <si>
    <t>nation</t>
  </si>
  <si>
    <t>fuel_flow_rate</t>
  </si>
  <si>
    <t>max_alt</t>
  </si>
  <si>
    <t>min_as</t>
  </si>
  <si>
    <t>notes</t>
  </si>
  <si>
    <t>A330 MRTT</t>
  </si>
  <si>
    <t>KC-30A</t>
  </si>
  <si>
    <t>tanker_model</t>
  </si>
  <si>
    <t>receiver_model</t>
  </si>
  <si>
    <t>receiver_nation</t>
  </si>
  <si>
    <t>min_alt</t>
  </si>
  <si>
    <t>tanker_nation</t>
  </si>
  <si>
    <t>c_tanker</t>
  </si>
  <si>
    <t>c_receiver</t>
  </si>
  <si>
    <t>E-7</t>
  </si>
  <si>
    <t>EA-18</t>
  </si>
  <si>
    <t>F-35</t>
  </si>
  <si>
    <t>B</t>
  </si>
  <si>
    <t>D</t>
  </si>
  <si>
    <t>tanker_type</t>
  </si>
  <si>
    <t>receiver_type</t>
  </si>
  <si>
    <t>A-10</t>
  </si>
  <si>
    <t>B-1</t>
  </si>
  <si>
    <t>B-2</t>
  </si>
  <si>
    <t>B-52</t>
  </si>
  <si>
    <t>F-16</t>
  </si>
  <si>
    <t>F-22</t>
  </si>
  <si>
    <t>F/A-18</t>
  </si>
  <si>
    <t>P-8</t>
  </si>
  <si>
    <t>NATO</t>
  </si>
  <si>
    <t>itv</t>
  </si>
  <si>
    <t>F-15</t>
  </si>
  <si>
    <t>Japan</t>
  </si>
  <si>
    <t>For FL150-FL300 265 - 300 KCAS</t>
  </si>
  <si>
    <t>A</t>
  </si>
  <si>
    <t>G</t>
  </si>
  <si>
    <t>C</t>
  </si>
  <si>
    <t>J</t>
  </si>
  <si>
    <t>DJ</t>
  </si>
  <si>
    <t>SG</t>
  </si>
  <si>
    <t>Belgium</t>
  </si>
  <si>
    <t xml:space="preserve">K </t>
  </si>
  <si>
    <t>Denmark</t>
  </si>
  <si>
    <t>Indonesia</t>
  </si>
  <si>
    <t xml:space="preserve">D </t>
  </si>
  <si>
    <t>Netherlands</t>
  </si>
  <si>
    <t>Portugal</t>
  </si>
  <si>
    <t>South Korea</t>
  </si>
  <si>
    <t>D+</t>
  </si>
  <si>
    <t>Singapore</t>
  </si>
  <si>
    <t>Thailand</t>
  </si>
  <si>
    <t>F-2</t>
  </si>
  <si>
    <t>Norway</t>
  </si>
  <si>
    <t>A-330 MRTT</t>
  </si>
  <si>
    <t>boom_pod</t>
  </si>
  <si>
    <t>P</t>
  </si>
  <si>
    <t>H</t>
  </si>
  <si>
    <t>KC-10</t>
  </si>
  <si>
    <t>Omega</t>
  </si>
  <si>
    <t>KDC-10</t>
  </si>
  <si>
    <t>USMC</t>
  </si>
  <si>
    <t>Canada</t>
  </si>
  <si>
    <t>Malaysia</t>
  </si>
  <si>
    <t>Finland</t>
  </si>
  <si>
    <t>Spain</t>
  </si>
  <si>
    <t>E</t>
  </si>
  <si>
    <t>F</t>
  </si>
  <si>
    <t>CF/A-18</t>
  </si>
  <si>
    <t>EF-18</t>
  </si>
  <si>
    <t>EF-2000</t>
  </si>
  <si>
    <t>Typhoon</t>
  </si>
  <si>
    <t>Germany</t>
  </si>
  <si>
    <t>F-2000A</t>
  </si>
  <si>
    <t>Sweden</t>
  </si>
  <si>
    <t>Gripen</t>
  </si>
  <si>
    <t>France</t>
  </si>
  <si>
    <t>Rafale</t>
  </si>
  <si>
    <t>M</t>
  </si>
  <si>
    <t>EH</t>
  </si>
  <si>
    <t>DH</t>
  </si>
  <si>
    <t>SU-30</t>
  </si>
  <si>
    <t>MKM</t>
  </si>
  <si>
    <t>MKI</t>
  </si>
  <si>
    <t>A400</t>
  </si>
  <si>
    <t>WDE (Wing Dispensing Equipment) Only</t>
  </si>
  <si>
    <t>MMF</t>
  </si>
  <si>
    <t>Phénix</t>
  </si>
  <si>
    <t>KC-330</t>
  </si>
  <si>
    <t>KC-30M</t>
  </si>
  <si>
    <t>MSM</t>
  </si>
  <si>
    <t>KC-135</t>
  </si>
  <si>
    <t>R</t>
  </si>
  <si>
    <t xml:space="preserve">KC-135 </t>
  </si>
  <si>
    <t>T</t>
  </si>
  <si>
    <t>KC-46</t>
  </si>
  <si>
    <t>CC-150</t>
  </si>
  <si>
    <t>Italy</t>
  </si>
  <si>
    <t>KC-130</t>
  </si>
  <si>
    <t>Voyager</t>
  </si>
  <si>
    <t xml:space="preserve">Omega </t>
  </si>
  <si>
    <t>KC-707</t>
  </si>
  <si>
    <t>KC-767</t>
  </si>
  <si>
    <t>given in 1500 ft</t>
  </si>
  <si>
    <t>FL300-FL350 -&gt; Airspeed: 250 KIAS</t>
  </si>
  <si>
    <t>vSRD_Tnkr</t>
  </si>
  <si>
    <t>vSRD_RCVR</t>
  </si>
  <si>
    <t>max_as_KCAS</t>
  </si>
  <si>
    <t>Max_as_M</t>
  </si>
  <si>
    <t>1500 ft AGL</t>
  </si>
  <si>
    <t>mininimum altitude in feet above ground level</t>
  </si>
  <si>
    <t>mininimum altitude in feet  above ground level</t>
  </si>
  <si>
    <t>N/A</t>
  </si>
  <si>
    <t>Bahrain</t>
  </si>
  <si>
    <t>Chile</t>
  </si>
  <si>
    <t>Egypt</t>
  </si>
  <si>
    <t>Greece</t>
  </si>
  <si>
    <t>Iraq</t>
  </si>
  <si>
    <t>Israel</t>
  </si>
  <si>
    <t>Jordan</t>
  </si>
  <si>
    <t>Korea</t>
  </si>
  <si>
    <t>Morocco</t>
  </si>
  <si>
    <t>Oman</t>
  </si>
  <si>
    <t>Poland</t>
  </si>
  <si>
    <t>Romania</t>
  </si>
  <si>
    <t>Republic of China</t>
  </si>
  <si>
    <t>Turkiye</t>
  </si>
  <si>
    <t>UAE</t>
  </si>
  <si>
    <t>Pakistan</t>
  </si>
  <si>
    <t>No Conformal Fuel Tanks, No Raised Dorsal Spine.</t>
  </si>
  <si>
    <t>The Netherlands</t>
  </si>
  <si>
    <t>August 2025</t>
  </si>
  <si>
    <t>3</t>
  </si>
  <si>
    <t>C-5</t>
  </si>
  <si>
    <t>C-32</t>
  </si>
  <si>
    <t>C-130</t>
  </si>
  <si>
    <t>U</t>
  </si>
  <si>
    <t>EC-130</t>
  </si>
  <si>
    <t>MC-130</t>
  </si>
  <si>
    <t>AC-130</t>
  </si>
  <si>
    <t>OB-135</t>
  </si>
  <si>
    <t>RC-135</t>
  </si>
  <si>
    <t>S</t>
  </si>
  <si>
    <t>V</t>
  </si>
  <si>
    <t>W</t>
  </si>
  <si>
    <t>TC-135</t>
  </si>
  <si>
    <t>WC-135</t>
  </si>
  <si>
    <t>E-3</t>
  </si>
  <si>
    <t>E-6</t>
  </si>
  <si>
    <t>CT-49</t>
  </si>
  <si>
    <t>E-8</t>
  </si>
  <si>
    <t>E-4</t>
  </si>
  <si>
    <t>VC-25</t>
  </si>
  <si>
    <t>I</t>
  </si>
  <si>
    <t>EX</t>
  </si>
  <si>
    <t>K</t>
  </si>
  <si>
    <t>SA</t>
  </si>
  <si>
    <t>QA</t>
  </si>
  <si>
    <t>F-117</t>
  </si>
  <si>
    <t>March 2025</t>
  </si>
  <si>
    <t>October 2025</t>
  </si>
  <si>
    <t>Qatar</t>
  </si>
  <si>
    <t>Lower speed limit reduces with lower F-16 Gross Weight
Conformal Fuel tanks: FL150 - FL300, min speed = 300 KCAS, max F-16 GW = 48 klbs.</t>
  </si>
  <si>
    <t>Auto Pilot Off. Auto Pilot On reduces the AAR flight envelope.</t>
  </si>
  <si>
    <t>Saudi Arabia</t>
  </si>
  <si>
    <t>New Zealand</t>
  </si>
  <si>
    <t>AV-8</t>
  </si>
  <si>
    <t>PA-200</t>
  </si>
  <si>
    <t xml:space="preserve"> -</t>
  </si>
  <si>
    <t>Mirage 2000</t>
  </si>
  <si>
    <t>JAS-39</t>
  </si>
  <si>
    <t xml:space="preserve">India </t>
  </si>
  <si>
    <t>India</t>
  </si>
  <si>
    <t>IDS</t>
  </si>
  <si>
    <t>ECR</t>
  </si>
  <si>
    <t>Switzerland</t>
  </si>
  <si>
    <t>CF-18</t>
  </si>
  <si>
    <t>Kuwait</t>
  </si>
  <si>
    <t>March 2023</t>
  </si>
  <si>
    <t>June 2022</t>
  </si>
  <si>
    <t>N</t>
  </si>
  <si>
    <t>5F</t>
  </si>
  <si>
    <t>May 2025</t>
  </si>
  <si>
    <t>Chechia</t>
  </si>
  <si>
    <t>Hungary</t>
  </si>
  <si>
    <t>December 2024</t>
  </si>
  <si>
    <t>boom_pod_BDA</t>
  </si>
  <si>
    <t>BDA</t>
  </si>
  <si>
    <t>UK</t>
  </si>
  <si>
    <t>February 2026</t>
  </si>
  <si>
    <t>January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</si>
</sst>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0" fillId="0" borderId="0" xfId="0" applyNumberFormat="1"/>
    <xf numFmtId="49" fontId="2" fillId="0" borderId="0" xfId="0" applyNumberFormat="1" applyFont="1"/>
    <xf numFmtId="17" fontId="0" fillId="0" borderId="0" xfId="0" applyNumberFormat="1"/>
  </cellXfs>
  <cellStyles count="1">
    <cellStyle name="Normal" xfId="0" builtinId="0"/>
  </cellStyles>
  <dxfs count="128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zoomScale="70" workbookViewId="0">
      <selection activeCell="H5" sqref="H5"/>
    </sheetView>
  </sheetViews>
  <sheetFormatPr defaultRowHeight="14.25"/>
  <cols>
    <col min="1" max="3" width="21.875" customWidth="1"/>
  </cols>
  <sheetData>
    <row r="1" spans="1:3" ht="15">
      <c r="A1" s="1" t="s">
        <v>5</v>
      </c>
      <c r="B1" s="1" t="s">
        <v>3</v>
      </c>
      <c r="C1" s="1" t="s">
        <v>4</v>
      </c>
    </row>
    <row r="2" spans="1:3">
      <c r="A2" t="e" cm="1">
        <f t="array" aca="1" ref="A2:C14" ca="1">_xlfn.UNIQUE(_xlfn._xlws.FILTER(Specifications!A2:C96, (Specifications!A2:A96&lt;&gt;"") * (Specifications!B2:B96&lt;&gt;"") * (Specifications!C2:C96&lt;&gt;"")))</f>
        <v>#NAME?</v>
      </c>
      <c r="B2" t="e">
        <f ca="1"/>
        <v>#NAME?</v>
      </c>
      <c r="C2" t="e">
        <f ca="1"/>
        <v>#NAME?</v>
      </c>
    </row>
    <row r="3" spans="1:3">
      <c r="A3" t="e">
        <f ca="1"/>
        <v>#NAME?</v>
      </c>
      <c r="B3" t="e">
        <f ca="1"/>
        <v>#NAME?</v>
      </c>
      <c r="C3" t="e">
        <f ca="1"/>
        <v>#NAME?</v>
      </c>
    </row>
    <row r="4" spans="1:3">
      <c r="A4" t="e">
        <f ca="1"/>
        <v>#NAME?</v>
      </c>
      <c r="B4" t="e">
        <f ca="1"/>
        <v>#NAME?</v>
      </c>
      <c r="C4" t="e">
        <f ca="1"/>
        <v>#NAME?</v>
      </c>
    </row>
    <row r="5" spans="1:3">
      <c r="A5" t="e">
        <f ca="1"/>
        <v>#NAME?</v>
      </c>
      <c r="B5" t="e">
        <f ca="1"/>
        <v>#NAME?</v>
      </c>
      <c r="C5" t="e">
        <f ca="1"/>
        <v>#NAME?</v>
      </c>
    </row>
    <row r="6" spans="1:3">
      <c r="A6" t="e">
        <f ca="1"/>
        <v>#NAME?</v>
      </c>
      <c r="B6" t="e">
        <f ca="1"/>
        <v>#NAME?</v>
      </c>
      <c r="C6" t="e">
        <f ca="1"/>
        <v>#NAME?</v>
      </c>
    </row>
    <row r="7" spans="1:3">
      <c r="A7" t="e">
        <f ca="1"/>
        <v>#NAME?</v>
      </c>
      <c r="B7" t="e">
        <f ca="1"/>
        <v>#NAME?</v>
      </c>
      <c r="C7" t="e">
        <f ca="1"/>
        <v>#NAME?</v>
      </c>
    </row>
    <row r="8" spans="1:3">
      <c r="A8" t="e">
        <f ca="1"/>
        <v>#NAME?</v>
      </c>
      <c r="B8" t="e">
        <f ca="1"/>
        <v>#NAME?</v>
      </c>
      <c r="C8" t="e">
        <f ca="1"/>
        <v>#NAME?</v>
      </c>
    </row>
    <row r="9" spans="1:3">
      <c r="A9" t="e">
        <f ca="1"/>
        <v>#NAME?</v>
      </c>
      <c r="B9" t="e">
        <f ca="1"/>
        <v>#NAME?</v>
      </c>
      <c r="C9" t="e">
        <f ca="1"/>
        <v>#NAME?</v>
      </c>
    </row>
    <row r="10" spans="1:3">
      <c r="A10" t="e">
        <f ca="1"/>
        <v>#NAME?</v>
      </c>
      <c r="B10" t="e">
        <f ca="1"/>
        <v>#NAME?</v>
      </c>
      <c r="C10" t="e">
        <f ca="1"/>
        <v>#NAME?</v>
      </c>
    </row>
    <row r="11" spans="1:3">
      <c r="A11" t="e">
        <f ca="1"/>
        <v>#NAME?</v>
      </c>
      <c r="B11" t="e">
        <f ca="1"/>
        <v>#NAME?</v>
      </c>
      <c r="C11" t="e">
        <f ca="1"/>
        <v>#NAME?</v>
      </c>
    </row>
    <row r="12" spans="1:3">
      <c r="A12" t="e">
        <f ca="1"/>
        <v>#NAME?</v>
      </c>
      <c r="B12" t="e">
        <f ca="1"/>
        <v>#NAME?</v>
      </c>
      <c r="C12" t="e">
        <f ca="1"/>
        <v>#NAME?</v>
      </c>
    </row>
    <row r="13" spans="1:3">
      <c r="A13" t="e">
        <f ca="1"/>
        <v>#NAME?</v>
      </c>
      <c r="B13" t="e">
        <f ca="1"/>
        <v>#NAME?</v>
      </c>
      <c r="C13" t="e">
        <f ca="1"/>
        <v>#NAME?</v>
      </c>
    </row>
    <row r="14" spans="1:3">
      <c r="A14" t="e">
        <f ca="1"/>
        <v>#NAME?</v>
      </c>
      <c r="B14" t="e">
        <f ca="1"/>
        <v>#NAME?</v>
      </c>
      <c r="C14" t="e">
        <f ca="1"/>
        <v>#NAME?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8"/>
  <sheetViews>
    <sheetView workbookViewId="0">
      <selection activeCell="A2" sqref="A2"/>
    </sheetView>
  </sheetViews>
  <sheetFormatPr defaultRowHeight="14.25"/>
  <cols>
    <col min="1" max="3" width="14.25" customWidth="1"/>
  </cols>
  <sheetData>
    <row r="1" spans="1:3" ht="15">
      <c r="A1" s="1" t="s">
        <v>5</v>
      </c>
      <c r="B1" s="1" t="s">
        <v>3</v>
      </c>
      <c r="C1" s="1" t="s">
        <v>4</v>
      </c>
    </row>
    <row r="2" spans="1:3">
      <c r="A2" t="e" cm="1">
        <f t="array" aca="1" ref="A2:C78" ca="1">_xlfn.UNIQUE(_xlfn._xlws.FILTER(Specifications!D2:F96, (Specifications!D2:D96&lt;&gt;"") * (Specifications!E2:E96&lt;&gt;"") * (Specifications!F2:F96&lt;&gt;"")))</f>
        <v>#NAME?</v>
      </c>
      <c r="B2" t="e">
        <f ca="1"/>
        <v>#NAME?</v>
      </c>
      <c r="C2" t="e">
        <f ca="1"/>
        <v>#NAME?</v>
      </c>
    </row>
    <row r="3" spans="1:3">
      <c r="A3" t="e">
        <f ca="1"/>
        <v>#NAME?</v>
      </c>
      <c r="B3" t="e">
        <f ca="1"/>
        <v>#NAME?</v>
      </c>
      <c r="C3" t="e">
        <f ca="1"/>
        <v>#NAME?</v>
      </c>
    </row>
    <row r="4" spans="1:3">
      <c r="A4" t="e">
        <f ca="1"/>
        <v>#NAME?</v>
      </c>
      <c r="B4" t="e">
        <f ca="1"/>
        <v>#NAME?</v>
      </c>
      <c r="C4" t="e">
        <f ca="1"/>
        <v>#NAME?</v>
      </c>
    </row>
    <row r="5" spans="1:3">
      <c r="A5" t="e">
        <f ca="1"/>
        <v>#NAME?</v>
      </c>
      <c r="B5" t="e">
        <f ca="1"/>
        <v>#NAME?</v>
      </c>
      <c r="C5" t="e">
        <f ca="1"/>
        <v>#NAME?</v>
      </c>
    </row>
    <row r="6" spans="1:3">
      <c r="A6" t="e">
        <f ca="1"/>
        <v>#NAME?</v>
      </c>
      <c r="B6" t="e">
        <f ca="1"/>
        <v>#NAME?</v>
      </c>
      <c r="C6" t="e">
        <f ca="1"/>
        <v>#NAME?</v>
      </c>
    </row>
    <row r="7" spans="1:3">
      <c r="A7" t="e">
        <f ca="1"/>
        <v>#NAME?</v>
      </c>
      <c r="B7" t="e">
        <f ca="1"/>
        <v>#NAME?</v>
      </c>
      <c r="C7" t="e">
        <f ca="1"/>
        <v>#NAME?</v>
      </c>
    </row>
    <row r="8" spans="1:3">
      <c r="A8" t="e">
        <f ca="1"/>
        <v>#NAME?</v>
      </c>
      <c r="B8" t="e">
        <f ca="1"/>
        <v>#NAME?</v>
      </c>
      <c r="C8" t="e">
        <f ca="1"/>
        <v>#NAME?</v>
      </c>
    </row>
    <row r="9" spans="1:3">
      <c r="A9" t="e">
        <f ca="1"/>
        <v>#NAME?</v>
      </c>
      <c r="B9" t="e">
        <f ca="1"/>
        <v>#NAME?</v>
      </c>
      <c r="C9" t="e">
        <f ca="1"/>
        <v>#NAME?</v>
      </c>
    </row>
    <row r="10" spans="1:3">
      <c r="A10" t="e">
        <f ca="1"/>
        <v>#NAME?</v>
      </c>
      <c r="B10" t="e">
        <f ca="1"/>
        <v>#NAME?</v>
      </c>
      <c r="C10" t="e">
        <f ca="1"/>
        <v>#NAME?</v>
      </c>
    </row>
    <row r="11" spans="1:3">
      <c r="A11" t="e">
        <f ca="1"/>
        <v>#NAME?</v>
      </c>
      <c r="B11" t="e">
        <f ca="1"/>
        <v>#NAME?</v>
      </c>
      <c r="C11" t="e">
        <f ca="1"/>
        <v>#NAME?</v>
      </c>
    </row>
    <row r="12" spans="1:3">
      <c r="A12" t="e">
        <f ca="1"/>
        <v>#NAME?</v>
      </c>
      <c r="B12" t="e">
        <f ca="1"/>
        <v>#NAME?</v>
      </c>
      <c r="C12" t="e">
        <f ca="1"/>
        <v>#NAME?</v>
      </c>
    </row>
    <row r="13" spans="1:3">
      <c r="A13" t="e">
        <f ca="1"/>
        <v>#NAME?</v>
      </c>
      <c r="B13" t="e">
        <f ca="1"/>
        <v>#NAME?</v>
      </c>
      <c r="C13" t="e">
        <f ca="1"/>
        <v>#NAME?</v>
      </c>
    </row>
    <row r="14" spans="1:3">
      <c r="A14" t="e">
        <f ca="1"/>
        <v>#NAME?</v>
      </c>
      <c r="B14" t="e">
        <f ca="1"/>
        <v>#NAME?</v>
      </c>
      <c r="C14" t="e">
        <f ca="1"/>
        <v>#NAME?</v>
      </c>
    </row>
    <row r="15" spans="1:3">
      <c r="A15" t="e">
        <f ca="1"/>
        <v>#NAME?</v>
      </c>
      <c r="B15" t="e">
        <f ca="1"/>
        <v>#NAME?</v>
      </c>
      <c r="C15" t="e">
        <f ca="1"/>
        <v>#NAME?</v>
      </c>
    </row>
    <row r="16" spans="1:3">
      <c r="A16" t="e">
        <f ca="1"/>
        <v>#NAME?</v>
      </c>
      <c r="B16" t="e">
        <f ca="1"/>
        <v>#NAME?</v>
      </c>
      <c r="C16" t="e">
        <f ca="1"/>
        <v>#NAME?</v>
      </c>
    </row>
    <row r="17" spans="1:3">
      <c r="A17" t="e">
        <f ca="1"/>
        <v>#NAME?</v>
      </c>
      <c r="B17" t="e">
        <f ca="1"/>
        <v>#NAME?</v>
      </c>
      <c r="C17" t="e">
        <f ca="1"/>
        <v>#NAME?</v>
      </c>
    </row>
    <row r="18" spans="1:3">
      <c r="A18" t="e">
        <f ca="1"/>
        <v>#NAME?</v>
      </c>
      <c r="B18" t="e">
        <f ca="1"/>
        <v>#NAME?</v>
      </c>
      <c r="C18" t="e">
        <f ca="1"/>
        <v>#NAME?</v>
      </c>
    </row>
    <row r="19" spans="1:3">
      <c r="A19" t="e">
        <f ca="1"/>
        <v>#NAME?</v>
      </c>
      <c r="B19" t="e">
        <f ca="1"/>
        <v>#NAME?</v>
      </c>
      <c r="C19" t="e">
        <f ca="1"/>
        <v>#NAME?</v>
      </c>
    </row>
    <row r="20" spans="1:3">
      <c r="A20" t="e">
        <f ca="1"/>
        <v>#NAME?</v>
      </c>
      <c r="B20" t="e">
        <f ca="1"/>
        <v>#NAME?</v>
      </c>
      <c r="C20" t="e">
        <f ca="1"/>
        <v>#NAME?</v>
      </c>
    </row>
    <row r="21" spans="1:3">
      <c r="A21" t="e">
        <f ca="1"/>
        <v>#NAME?</v>
      </c>
      <c r="B21" t="e">
        <f ca="1"/>
        <v>#NAME?</v>
      </c>
      <c r="C21" t="e">
        <f ca="1"/>
        <v>#NAME?</v>
      </c>
    </row>
    <row r="22" spans="1:3">
      <c r="A22" t="e">
        <f ca="1"/>
        <v>#NAME?</v>
      </c>
      <c r="B22" t="e">
        <f ca="1"/>
        <v>#NAME?</v>
      </c>
      <c r="C22" t="e">
        <f ca="1"/>
        <v>#NAME?</v>
      </c>
    </row>
    <row r="23" spans="1:3">
      <c r="A23" t="e">
        <f ca="1"/>
        <v>#NAME?</v>
      </c>
      <c r="B23" t="e">
        <f ca="1"/>
        <v>#NAME?</v>
      </c>
      <c r="C23" t="e">
        <f ca="1"/>
        <v>#NAME?</v>
      </c>
    </row>
    <row r="24" spans="1:3">
      <c r="A24" t="e">
        <f ca="1"/>
        <v>#NAME?</v>
      </c>
      <c r="B24" t="e">
        <f ca="1"/>
        <v>#NAME?</v>
      </c>
      <c r="C24" t="e">
        <f ca="1"/>
        <v>#NAME?</v>
      </c>
    </row>
    <row r="25" spans="1:3">
      <c r="A25" t="e">
        <f ca="1"/>
        <v>#NAME?</v>
      </c>
      <c r="B25" t="e">
        <f ca="1"/>
        <v>#NAME?</v>
      </c>
      <c r="C25" t="e">
        <f ca="1"/>
        <v>#NAME?</v>
      </c>
    </row>
    <row r="26" spans="1:3">
      <c r="A26" t="e">
        <f ca="1"/>
        <v>#NAME?</v>
      </c>
      <c r="B26" t="e">
        <f ca="1"/>
        <v>#NAME?</v>
      </c>
      <c r="C26" t="e">
        <f ca="1"/>
        <v>#NAME?</v>
      </c>
    </row>
    <row r="27" spans="1:3">
      <c r="A27" t="e">
        <f ca="1"/>
        <v>#NAME?</v>
      </c>
      <c r="B27" t="e">
        <f ca="1"/>
        <v>#NAME?</v>
      </c>
      <c r="C27" t="e">
        <f ca="1"/>
        <v>#NAME?</v>
      </c>
    </row>
    <row r="28" spans="1:3">
      <c r="A28" t="e">
        <f ca="1"/>
        <v>#NAME?</v>
      </c>
      <c r="B28" t="e">
        <f ca="1"/>
        <v>#NAME?</v>
      </c>
      <c r="C28" t="e">
        <f ca="1"/>
        <v>#NAME?</v>
      </c>
    </row>
    <row r="29" spans="1:3">
      <c r="A29" t="e">
        <f ca="1"/>
        <v>#NAME?</v>
      </c>
      <c r="B29" t="e">
        <f ca="1"/>
        <v>#NAME?</v>
      </c>
      <c r="C29" t="e">
        <f ca="1"/>
        <v>#NAME?</v>
      </c>
    </row>
    <row r="30" spans="1:3">
      <c r="A30" t="e">
        <f ca="1"/>
        <v>#NAME?</v>
      </c>
      <c r="B30" t="e">
        <f ca="1"/>
        <v>#NAME?</v>
      </c>
      <c r="C30" t="e">
        <f ca="1"/>
        <v>#NAME?</v>
      </c>
    </row>
    <row r="31" spans="1:3">
      <c r="A31" t="e">
        <f ca="1"/>
        <v>#NAME?</v>
      </c>
      <c r="B31" t="e">
        <f ca="1"/>
        <v>#NAME?</v>
      </c>
      <c r="C31" t="e">
        <f ca="1"/>
        <v>#NAME?</v>
      </c>
    </row>
    <row r="32" spans="1:3">
      <c r="A32" t="e">
        <f ca="1"/>
        <v>#NAME?</v>
      </c>
      <c r="B32" t="e">
        <f ca="1"/>
        <v>#NAME?</v>
      </c>
      <c r="C32" t="e">
        <f ca="1"/>
        <v>#NAME?</v>
      </c>
    </row>
    <row r="33" spans="1:3">
      <c r="A33" t="e">
        <f ca="1"/>
        <v>#NAME?</v>
      </c>
      <c r="B33" t="e">
        <f ca="1"/>
        <v>#NAME?</v>
      </c>
      <c r="C33" t="e">
        <f ca="1"/>
        <v>#NAME?</v>
      </c>
    </row>
    <row r="34" spans="1:3">
      <c r="A34" t="e">
        <f ca="1"/>
        <v>#NAME?</v>
      </c>
      <c r="B34" t="e">
        <f ca="1"/>
        <v>#NAME?</v>
      </c>
      <c r="C34" t="e">
        <f ca="1"/>
        <v>#NAME?</v>
      </c>
    </row>
    <row r="35" spans="1:3">
      <c r="A35" t="e">
        <f ca="1"/>
        <v>#NAME?</v>
      </c>
      <c r="B35" t="e">
        <f ca="1"/>
        <v>#NAME?</v>
      </c>
      <c r="C35" t="e">
        <f ca="1"/>
        <v>#NAME?</v>
      </c>
    </row>
    <row r="36" spans="1:3">
      <c r="A36" t="e">
        <f ca="1"/>
        <v>#NAME?</v>
      </c>
      <c r="B36" t="e">
        <f ca="1"/>
        <v>#NAME?</v>
      </c>
      <c r="C36" t="e">
        <f ca="1"/>
        <v>#NAME?</v>
      </c>
    </row>
    <row r="37" spans="1:3">
      <c r="A37" t="e">
        <f ca="1"/>
        <v>#NAME?</v>
      </c>
      <c r="B37" t="e">
        <f ca="1"/>
        <v>#NAME?</v>
      </c>
      <c r="C37" t="e">
        <f ca="1"/>
        <v>#NAME?</v>
      </c>
    </row>
    <row r="38" spans="1:3">
      <c r="A38" t="e">
        <f ca="1"/>
        <v>#NAME?</v>
      </c>
      <c r="B38" t="e">
        <f ca="1"/>
        <v>#NAME?</v>
      </c>
      <c r="C38" t="e">
        <f ca="1"/>
        <v>#NAME?</v>
      </c>
    </row>
    <row r="39" spans="1:3">
      <c r="A39" t="e">
        <f ca="1"/>
        <v>#NAME?</v>
      </c>
      <c r="B39" t="e">
        <f ca="1"/>
        <v>#NAME?</v>
      </c>
      <c r="C39" t="e">
        <f ca="1"/>
        <v>#NAME?</v>
      </c>
    </row>
    <row r="40" spans="1:3">
      <c r="A40" t="e">
        <f ca="1"/>
        <v>#NAME?</v>
      </c>
      <c r="B40" t="e">
        <f ca="1"/>
        <v>#NAME?</v>
      </c>
      <c r="C40" t="e">
        <f ca="1"/>
        <v>#NAME?</v>
      </c>
    </row>
    <row r="41" spans="1:3">
      <c r="A41" t="e">
        <f ca="1"/>
        <v>#NAME?</v>
      </c>
      <c r="B41" t="e">
        <f ca="1"/>
        <v>#NAME?</v>
      </c>
      <c r="C41" t="e">
        <f ca="1"/>
        <v>#NAME?</v>
      </c>
    </row>
    <row r="42" spans="1:3">
      <c r="A42" t="e">
        <f ca="1"/>
        <v>#NAME?</v>
      </c>
      <c r="B42" t="e">
        <f ca="1"/>
        <v>#NAME?</v>
      </c>
      <c r="C42" t="e">
        <f ca="1"/>
        <v>#NAME?</v>
      </c>
    </row>
    <row r="43" spans="1:3">
      <c r="A43" t="e">
        <f ca="1"/>
        <v>#NAME?</v>
      </c>
      <c r="B43" t="e">
        <f ca="1"/>
        <v>#NAME?</v>
      </c>
      <c r="C43" t="e">
        <f ca="1"/>
        <v>#NAME?</v>
      </c>
    </row>
    <row r="44" spans="1:3">
      <c r="A44" t="e">
        <f ca="1"/>
        <v>#NAME?</v>
      </c>
      <c r="B44" t="e">
        <f ca="1"/>
        <v>#NAME?</v>
      </c>
      <c r="C44" t="e">
        <f ca="1"/>
        <v>#NAME?</v>
      </c>
    </row>
    <row r="45" spans="1:3">
      <c r="A45" t="e">
        <f ca="1"/>
        <v>#NAME?</v>
      </c>
      <c r="B45" t="e">
        <f ca="1"/>
        <v>#NAME?</v>
      </c>
      <c r="C45" t="e">
        <f ca="1"/>
        <v>#NAME?</v>
      </c>
    </row>
    <row r="46" spans="1:3">
      <c r="A46" t="e">
        <f ca="1"/>
        <v>#NAME?</v>
      </c>
      <c r="B46" t="e">
        <f ca="1"/>
        <v>#NAME?</v>
      </c>
      <c r="C46" t="e">
        <f ca="1"/>
        <v>#NAME?</v>
      </c>
    </row>
    <row r="47" spans="1:3">
      <c r="A47" t="e">
        <f ca="1"/>
        <v>#NAME?</v>
      </c>
      <c r="B47" t="e">
        <f ca="1"/>
        <v>#NAME?</v>
      </c>
      <c r="C47" t="e">
        <f ca="1"/>
        <v>#NAME?</v>
      </c>
    </row>
    <row r="48" spans="1:3">
      <c r="A48" t="e">
        <f ca="1"/>
        <v>#NAME?</v>
      </c>
      <c r="B48" t="e">
        <f ca="1"/>
        <v>#NAME?</v>
      </c>
      <c r="C48" t="e">
        <f ca="1"/>
        <v>#NAME?</v>
      </c>
    </row>
    <row r="49" spans="1:3">
      <c r="A49" t="e">
        <f ca="1"/>
        <v>#NAME?</v>
      </c>
      <c r="B49" t="e">
        <f ca="1"/>
        <v>#NAME?</v>
      </c>
      <c r="C49" t="e">
        <f ca="1"/>
        <v>#NAME?</v>
      </c>
    </row>
    <row r="50" spans="1:3">
      <c r="A50" t="e">
        <f ca="1"/>
        <v>#NAME?</v>
      </c>
      <c r="B50" t="e">
        <f ca="1"/>
        <v>#NAME?</v>
      </c>
      <c r="C50" t="e">
        <f ca="1"/>
        <v>#NAME?</v>
      </c>
    </row>
    <row r="51" spans="1:3">
      <c r="A51" t="e">
        <f ca="1"/>
        <v>#NAME?</v>
      </c>
      <c r="B51" t="e">
        <f ca="1"/>
        <v>#NAME?</v>
      </c>
      <c r="C51" t="e">
        <f ca="1"/>
        <v>#NAME?</v>
      </c>
    </row>
    <row r="52" spans="1:3">
      <c r="A52" t="e">
        <f ca="1"/>
        <v>#NAME?</v>
      </c>
      <c r="B52" t="e">
        <f ca="1"/>
        <v>#NAME?</v>
      </c>
      <c r="C52" t="e">
        <f ca="1"/>
        <v>#NAME?</v>
      </c>
    </row>
    <row r="53" spans="1:3">
      <c r="A53" t="e">
        <f ca="1"/>
        <v>#NAME?</v>
      </c>
      <c r="B53" t="e">
        <f ca="1"/>
        <v>#NAME?</v>
      </c>
      <c r="C53" t="e">
        <f ca="1"/>
        <v>#NAME?</v>
      </c>
    </row>
    <row r="54" spans="1:3">
      <c r="A54" t="e">
        <f ca="1"/>
        <v>#NAME?</v>
      </c>
      <c r="B54" t="e">
        <f ca="1"/>
        <v>#NAME?</v>
      </c>
      <c r="C54" t="e">
        <f ca="1"/>
        <v>#NAME?</v>
      </c>
    </row>
    <row r="55" spans="1:3">
      <c r="A55" t="e">
        <f ca="1"/>
        <v>#NAME?</v>
      </c>
      <c r="B55" t="e">
        <f ca="1"/>
        <v>#NAME?</v>
      </c>
      <c r="C55" t="e">
        <f ca="1"/>
        <v>#NAME?</v>
      </c>
    </row>
    <row r="56" spans="1:3">
      <c r="A56" t="e">
        <f ca="1"/>
        <v>#NAME?</v>
      </c>
      <c r="B56" t="e">
        <f ca="1"/>
        <v>#NAME?</v>
      </c>
      <c r="C56" t="e">
        <f ca="1"/>
        <v>#NAME?</v>
      </c>
    </row>
    <row r="57" spans="1:3">
      <c r="A57" t="e">
        <f ca="1"/>
        <v>#NAME?</v>
      </c>
      <c r="B57" t="e">
        <f ca="1"/>
        <v>#NAME?</v>
      </c>
      <c r="C57" t="e">
        <f ca="1"/>
        <v>#NAME?</v>
      </c>
    </row>
    <row r="58" spans="1:3">
      <c r="A58" t="e">
        <f ca="1"/>
        <v>#NAME?</v>
      </c>
      <c r="B58" t="e">
        <f ca="1"/>
        <v>#NAME?</v>
      </c>
      <c r="C58" t="e">
        <f ca="1"/>
        <v>#NAME?</v>
      </c>
    </row>
    <row r="59" spans="1:3">
      <c r="A59" t="e">
        <f ca="1"/>
        <v>#NAME?</v>
      </c>
      <c r="B59" t="e">
        <f ca="1"/>
        <v>#NAME?</v>
      </c>
      <c r="C59" t="e">
        <f ca="1"/>
        <v>#NAME?</v>
      </c>
    </row>
    <row r="60" spans="1:3">
      <c r="A60" t="e">
        <f ca="1"/>
        <v>#NAME?</v>
      </c>
      <c r="B60" t="e">
        <f ca="1"/>
        <v>#NAME?</v>
      </c>
      <c r="C60" t="e">
        <f ca="1"/>
        <v>#NAME?</v>
      </c>
    </row>
    <row r="61" spans="1:3">
      <c r="A61" t="e">
        <f ca="1"/>
        <v>#NAME?</v>
      </c>
      <c r="B61" t="e">
        <f ca="1"/>
        <v>#NAME?</v>
      </c>
      <c r="C61" t="e">
        <f ca="1"/>
        <v>#NAME?</v>
      </c>
    </row>
    <row r="62" spans="1:3">
      <c r="A62" t="e">
        <f ca="1"/>
        <v>#NAME?</v>
      </c>
      <c r="B62" t="e">
        <f ca="1"/>
        <v>#NAME?</v>
      </c>
      <c r="C62" t="e">
        <f ca="1"/>
        <v>#NAME?</v>
      </c>
    </row>
    <row r="63" spans="1:3">
      <c r="A63" t="e">
        <f ca="1"/>
        <v>#NAME?</v>
      </c>
      <c r="B63" t="e">
        <f ca="1"/>
        <v>#NAME?</v>
      </c>
      <c r="C63" t="e">
        <f ca="1"/>
        <v>#NAME?</v>
      </c>
    </row>
    <row r="64" spans="1:3">
      <c r="A64" t="e">
        <f ca="1"/>
        <v>#NAME?</v>
      </c>
      <c r="B64" t="e">
        <f ca="1"/>
        <v>#NAME?</v>
      </c>
      <c r="C64" t="e">
        <f ca="1"/>
        <v>#NAME?</v>
      </c>
    </row>
    <row r="65" spans="1:3">
      <c r="A65" t="e">
        <f ca="1"/>
        <v>#NAME?</v>
      </c>
      <c r="B65" t="e">
        <f ca="1"/>
        <v>#NAME?</v>
      </c>
      <c r="C65" t="e">
        <f ca="1"/>
        <v>#NAME?</v>
      </c>
    </row>
    <row r="66" spans="1:3">
      <c r="A66" t="e">
        <f ca="1"/>
        <v>#NAME?</v>
      </c>
      <c r="B66" t="e">
        <f ca="1"/>
        <v>#NAME?</v>
      </c>
      <c r="C66" t="e">
        <f ca="1"/>
        <v>#NAME?</v>
      </c>
    </row>
    <row r="67" spans="1:3">
      <c r="A67" t="e">
        <f ca="1"/>
        <v>#NAME?</v>
      </c>
      <c r="B67" t="e">
        <f ca="1"/>
        <v>#NAME?</v>
      </c>
      <c r="C67" t="e">
        <f ca="1"/>
        <v>#NAME?</v>
      </c>
    </row>
    <row r="68" spans="1:3">
      <c r="A68" t="e">
        <f ca="1"/>
        <v>#NAME?</v>
      </c>
      <c r="B68" t="e">
        <f ca="1"/>
        <v>#NAME?</v>
      </c>
      <c r="C68" t="e">
        <f ca="1"/>
        <v>#NAME?</v>
      </c>
    </row>
    <row r="69" spans="1:3">
      <c r="A69" t="e">
        <f ca="1"/>
        <v>#NAME?</v>
      </c>
      <c r="B69" t="e">
        <f ca="1"/>
        <v>#NAME?</v>
      </c>
      <c r="C69" t="e">
        <f ca="1"/>
        <v>#NAME?</v>
      </c>
    </row>
    <row r="70" spans="1:3">
      <c r="A70" t="e">
        <f ca="1"/>
        <v>#NAME?</v>
      </c>
      <c r="B70" t="e">
        <f ca="1"/>
        <v>#NAME?</v>
      </c>
      <c r="C70" t="e">
        <f ca="1"/>
        <v>#NAME?</v>
      </c>
    </row>
    <row r="71" spans="1:3">
      <c r="A71" t="e">
        <f ca="1"/>
        <v>#NAME?</v>
      </c>
      <c r="B71" t="e">
        <f ca="1"/>
        <v>#NAME?</v>
      </c>
      <c r="C71" t="e">
        <f ca="1"/>
        <v>#NAME?</v>
      </c>
    </row>
    <row r="72" spans="1:3">
      <c r="A72" t="e">
        <f ca="1"/>
        <v>#NAME?</v>
      </c>
      <c r="B72" t="e">
        <f ca="1"/>
        <v>#NAME?</v>
      </c>
      <c r="C72" t="e">
        <f ca="1"/>
        <v>#NAME?</v>
      </c>
    </row>
    <row r="73" spans="1:3">
      <c r="A73" t="e">
        <f ca="1"/>
        <v>#NAME?</v>
      </c>
      <c r="B73" t="e">
        <f ca="1"/>
        <v>#NAME?</v>
      </c>
      <c r="C73" t="e">
        <f ca="1"/>
        <v>#NAME?</v>
      </c>
    </row>
    <row r="74" spans="1:3">
      <c r="A74" t="e">
        <f ca="1"/>
        <v>#NAME?</v>
      </c>
      <c r="B74" t="e">
        <f ca="1"/>
        <v>#NAME?</v>
      </c>
      <c r="C74" t="e">
        <f ca="1"/>
        <v>#NAME?</v>
      </c>
    </row>
    <row r="75" spans="1:3">
      <c r="A75" t="e">
        <f ca="1"/>
        <v>#NAME?</v>
      </c>
      <c r="B75" t="e">
        <f ca="1"/>
        <v>#NAME?</v>
      </c>
      <c r="C75" t="e">
        <f ca="1"/>
        <v>#NAME?</v>
      </c>
    </row>
    <row r="76" spans="1:3">
      <c r="A76" t="e">
        <f ca="1"/>
        <v>#NAME?</v>
      </c>
      <c r="B76" t="e">
        <f ca="1"/>
        <v>#NAME?</v>
      </c>
      <c r="C76" t="e">
        <f ca="1"/>
        <v>#NAME?</v>
      </c>
    </row>
    <row r="77" spans="1:3">
      <c r="A77" t="e">
        <f ca="1"/>
        <v>#NAME?</v>
      </c>
      <c r="B77" t="e">
        <f ca="1"/>
        <v>#NAME?</v>
      </c>
      <c r="C77" t="e">
        <f ca="1"/>
        <v>#NAME?</v>
      </c>
    </row>
    <row r="78" spans="1:3">
      <c r="A78" t="e">
        <f ca="1"/>
        <v>#NAME?</v>
      </c>
      <c r="B78" t="e">
        <f ca="1"/>
        <v>#NAME?</v>
      </c>
      <c r="C78" t="e">
        <f ca="1"/>
        <v>#NAME?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334"/>
  <sheetViews>
    <sheetView tabSelected="1" zoomScale="80" zoomScaleNormal="80" workbookViewId="0">
      <selection sqref="A1:XFD1048576"/>
    </sheetView>
  </sheetViews>
  <sheetFormatPr defaultRowHeight="14.25"/>
  <cols>
    <col min="1" max="8" width="15.75" customWidth="1"/>
    <col min="9" max="10" width="15.75" style="4" customWidth="1"/>
    <col min="11" max="13" width="15.75" customWidth="1"/>
    <col min="15" max="15" width="18.5" bestFit="1" customWidth="1"/>
    <col min="16" max="16" width="18.5" customWidth="1"/>
    <col min="17" max="17" width="16.875" customWidth="1"/>
    <col min="18" max="18" width="21.5" customWidth="1"/>
  </cols>
  <sheetData>
    <row r="1" spans="1:18" s="3" customFormat="1" ht="18">
      <c r="A1" s="2" t="s">
        <v>16</v>
      </c>
      <c r="B1" s="2" t="s">
        <v>24</v>
      </c>
      <c r="C1" s="2" t="s">
        <v>12</v>
      </c>
      <c r="D1" s="2" t="s">
        <v>14</v>
      </c>
      <c r="E1" s="2" t="s">
        <v>25</v>
      </c>
      <c r="F1" s="2" t="s">
        <v>13</v>
      </c>
      <c r="G1" s="2" t="s">
        <v>17</v>
      </c>
      <c r="H1" s="2" t="s">
        <v>18</v>
      </c>
      <c r="I1" s="5" t="s">
        <v>109</v>
      </c>
      <c r="J1" s="5" t="s">
        <v>110</v>
      </c>
      <c r="K1" s="2" t="s">
        <v>190</v>
      </c>
      <c r="L1" s="2" t="s">
        <v>15</v>
      </c>
      <c r="M1" s="2" t="s">
        <v>7</v>
      </c>
      <c r="N1" s="2" t="s">
        <v>8</v>
      </c>
      <c r="O1" s="2" t="s">
        <v>111</v>
      </c>
      <c r="P1" s="2" t="s">
        <v>112</v>
      </c>
      <c r="Q1" s="2" t="s">
        <v>6</v>
      </c>
      <c r="R1" s="2" t="s">
        <v>9</v>
      </c>
    </row>
    <row r="2" spans="1:18">
      <c r="A2" t="s">
        <v>2</v>
      </c>
      <c r="B2" t="s">
        <v>10</v>
      </c>
      <c r="C2" t="s">
        <v>11</v>
      </c>
      <c r="D2" t="s">
        <v>2</v>
      </c>
      <c r="E2" t="s">
        <v>0</v>
      </c>
      <c r="F2" t="s">
        <v>39</v>
      </c>
      <c r="G2">
        <v>3</v>
      </c>
      <c r="H2">
        <v>3</v>
      </c>
      <c r="I2" s="4" t="s">
        <v>194</v>
      </c>
      <c r="J2" s="4" t="s">
        <v>194</v>
      </c>
      <c r="K2" t="s">
        <v>22</v>
      </c>
      <c r="L2">
        <v>150</v>
      </c>
      <c r="M2">
        <v>280</v>
      </c>
      <c r="N2">
        <v>265</v>
      </c>
      <c r="O2">
        <v>285</v>
      </c>
      <c r="P2">
        <v>0.8</v>
      </c>
      <c r="Q2">
        <f>3600*2.20462</f>
        <v>7936.6319999999996</v>
      </c>
    </row>
    <row r="3" spans="1:18">
      <c r="A3" t="s">
        <v>2</v>
      </c>
      <c r="B3" t="s">
        <v>10</v>
      </c>
      <c r="C3" t="s">
        <v>11</v>
      </c>
      <c r="D3" t="s">
        <v>2</v>
      </c>
      <c r="E3" t="s">
        <v>19</v>
      </c>
      <c r="F3" t="s">
        <v>39</v>
      </c>
      <c r="G3">
        <v>3</v>
      </c>
      <c r="H3">
        <v>3</v>
      </c>
      <c r="I3" s="4" t="s">
        <v>194</v>
      </c>
      <c r="J3" s="4" t="s">
        <v>194</v>
      </c>
      <c r="K3" t="s">
        <v>22</v>
      </c>
      <c r="L3">
        <v>200</v>
      </c>
      <c r="M3">
        <v>300</v>
      </c>
      <c r="N3">
        <v>250</v>
      </c>
      <c r="O3">
        <v>290</v>
      </c>
      <c r="P3">
        <v>0.72</v>
      </c>
      <c r="Q3">
        <f>1900*2.20462</f>
        <v>4188.7779999999993</v>
      </c>
    </row>
    <row r="4" spans="1:18">
      <c r="A4" t="s">
        <v>2</v>
      </c>
      <c r="B4" t="s">
        <v>10</v>
      </c>
      <c r="C4" t="s">
        <v>11</v>
      </c>
      <c r="D4" t="s">
        <v>2</v>
      </c>
      <c r="E4" t="s">
        <v>20</v>
      </c>
      <c r="F4" t="s">
        <v>40</v>
      </c>
      <c r="G4">
        <v>3</v>
      </c>
      <c r="H4">
        <v>3</v>
      </c>
      <c r="I4" s="4" t="s">
        <v>194</v>
      </c>
      <c r="J4" s="4" t="s">
        <v>194</v>
      </c>
      <c r="K4" t="s">
        <v>60</v>
      </c>
      <c r="L4" t="s">
        <v>113</v>
      </c>
      <c r="M4">
        <v>350</v>
      </c>
      <c r="N4">
        <v>250</v>
      </c>
      <c r="O4">
        <v>300</v>
      </c>
      <c r="P4">
        <v>0.8</v>
      </c>
      <c r="Q4">
        <f>1200 * 2.20462</f>
        <v>2645.5439999999999</v>
      </c>
      <c r="R4" t="s">
        <v>115</v>
      </c>
    </row>
    <row r="5" spans="1:18">
      <c r="A5" t="s">
        <v>2</v>
      </c>
      <c r="B5" t="s">
        <v>10</v>
      </c>
      <c r="C5" t="s">
        <v>11</v>
      </c>
      <c r="D5" t="s">
        <v>2</v>
      </c>
      <c r="E5" t="s">
        <v>32</v>
      </c>
      <c r="F5" t="s">
        <v>39</v>
      </c>
      <c r="G5">
        <v>3</v>
      </c>
      <c r="H5">
        <v>3</v>
      </c>
      <c r="I5" s="4" t="s">
        <v>194</v>
      </c>
      <c r="J5" s="4" t="s">
        <v>194</v>
      </c>
      <c r="K5" t="s">
        <v>60</v>
      </c>
      <c r="L5" t="s">
        <v>113</v>
      </c>
      <c r="M5">
        <v>350</v>
      </c>
      <c r="N5">
        <v>250</v>
      </c>
      <c r="O5">
        <v>300</v>
      </c>
      <c r="P5">
        <v>0.8</v>
      </c>
      <c r="Q5">
        <f>1200 * 2.20462</f>
        <v>2645.5439999999999</v>
      </c>
      <c r="R5" t="s">
        <v>114</v>
      </c>
    </row>
    <row r="6" spans="1:18">
      <c r="A6" t="s">
        <v>2</v>
      </c>
      <c r="B6" t="s">
        <v>10</v>
      </c>
      <c r="C6" t="s">
        <v>11</v>
      </c>
      <c r="D6" t="s">
        <v>2</v>
      </c>
      <c r="E6" t="s">
        <v>21</v>
      </c>
      <c r="F6" t="s">
        <v>39</v>
      </c>
      <c r="G6">
        <v>3</v>
      </c>
      <c r="H6">
        <v>3</v>
      </c>
      <c r="I6" s="4" t="s">
        <v>194</v>
      </c>
      <c r="J6" s="4" t="s">
        <v>194</v>
      </c>
      <c r="K6" t="s">
        <v>22</v>
      </c>
      <c r="L6">
        <v>80</v>
      </c>
      <c r="M6">
        <v>350</v>
      </c>
      <c r="N6">
        <v>265</v>
      </c>
      <c r="O6">
        <v>325</v>
      </c>
      <c r="P6">
        <v>0.84</v>
      </c>
      <c r="Q6">
        <f>1000*2.20462</f>
        <v>2204.62</v>
      </c>
    </row>
    <row r="7" spans="1:18">
      <c r="A7" t="s">
        <v>2</v>
      </c>
      <c r="B7" t="s">
        <v>10</v>
      </c>
      <c r="C7" t="s">
        <v>11</v>
      </c>
      <c r="D7" t="s">
        <v>2</v>
      </c>
      <c r="E7" t="s">
        <v>10</v>
      </c>
      <c r="F7" t="s">
        <v>11</v>
      </c>
      <c r="G7">
        <v>3</v>
      </c>
      <c r="H7">
        <v>3</v>
      </c>
      <c r="I7" s="4" t="s">
        <v>194</v>
      </c>
      <c r="J7" s="4" t="s">
        <v>194</v>
      </c>
      <c r="K7" t="s">
        <v>22</v>
      </c>
      <c r="L7">
        <v>150</v>
      </c>
      <c r="M7">
        <v>300</v>
      </c>
      <c r="N7">
        <v>250</v>
      </c>
      <c r="O7">
        <v>290</v>
      </c>
      <c r="P7">
        <v>0.8</v>
      </c>
      <c r="Q7">
        <f>3600*2.20462</f>
        <v>7936.6319999999996</v>
      </c>
    </row>
    <row r="8" spans="1:18">
      <c r="A8" t="s">
        <v>2</v>
      </c>
      <c r="B8" t="s">
        <v>10</v>
      </c>
      <c r="C8" t="s">
        <v>11</v>
      </c>
      <c r="D8" t="s">
        <v>2</v>
      </c>
      <c r="E8" t="s">
        <v>33</v>
      </c>
      <c r="F8" t="s">
        <v>39</v>
      </c>
      <c r="G8">
        <v>3</v>
      </c>
      <c r="H8">
        <v>3</v>
      </c>
      <c r="I8" s="4" t="s">
        <v>194</v>
      </c>
      <c r="J8" s="4" t="s">
        <v>194</v>
      </c>
      <c r="K8" t="s">
        <v>22</v>
      </c>
      <c r="L8">
        <v>80</v>
      </c>
      <c r="M8">
        <v>280</v>
      </c>
      <c r="N8">
        <v>250</v>
      </c>
      <c r="O8">
        <v>300</v>
      </c>
      <c r="P8">
        <v>0.76</v>
      </c>
      <c r="Q8">
        <f>1900*2.20462</f>
        <v>4188.7779999999993</v>
      </c>
    </row>
    <row r="9" spans="1:18">
      <c r="A9" t="s">
        <v>2</v>
      </c>
      <c r="B9" t="s">
        <v>10</v>
      </c>
      <c r="C9" t="s">
        <v>11</v>
      </c>
      <c r="D9" t="s">
        <v>1</v>
      </c>
      <c r="E9" t="s">
        <v>27</v>
      </c>
      <c r="F9" t="s">
        <v>22</v>
      </c>
      <c r="G9">
        <v>3</v>
      </c>
      <c r="H9">
        <v>3</v>
      </c>
      <c r="I9" s="4" t="s">
        <v>194</v>
      </c>
      <c r="J9" s="4" t="s">
        <v>194</v>
      </c>
      <c r="K9" t="s">
        <v>22</v>
      </c>
      <c r="L9">
        <v>100</v>
      </c>
      <c r="M9">
        <v>270</v>
      </c>
      <c r="N9">
        <v>290</v>
      </c>
      <c r="O9">
        <v>315</v>
      </c>
      <c r="P9">
        <v>0.8</v>
      </c>
      <c r="Q9">
        <f>3600*2.20462</f>
        <v>7936.6319999999996</v>
      </c>
    </row>
    <row r="10" spans="1:18">
      <c r="A10" t="s">
        <v>2</v>
      </c>
      <c r="B10" t="s">
        <v>10</v>
      </c>
      <c r="C10" t="s">
        <v>11</v>
      </c>
      <c r="D10" t="s">
        <v>1</v>
      </c>
      <c r="E10" t="s">
        <v>26</v>
      </c>
      <c r="F10" t="s">
        <v>41</v>
      </c>
      <c r="G10">
        <v>3</v>
      </c>
      <c r="H10">
        <v>3</v>
      </c>
      <c r="I10" s="4" t="s">
        <v>194</v>
      </c>
      <c r="J10" s="4" t="s">
        <v>194</v>
      </c>
      <c r="K10" t="s">
        <v>22</v>
      </c>
      <c r="L10">
        <v>100</v>
      </c>
      <c r="M10">
        <v>200</v>
      </c>
      <c r="N10">
        <v>190</v>
      </c>
      <c r="O10">
        <v>240</v>
      </c>
      <c r="P10">
        <v>0.46</v>
      </c>
      <c r="Q10">
        <f>1200*2.20462</f>
        <v>2645.5439999999999</v>
      </c>
    </row>
    <row r="11" spans="1:18">
      <c r="A11" t="s">
        <v>2</v>
      </c>
      <c r="B11" t="s">
        <v>10</v>
      </c>
      <c r="C11" t="s">
        <v>11</v>
      </c>
      <c r="D11" t="s">
        <v>37</v>
      </c>
      <c r="E11" t="s">
        <v>36</v>
      </c>
      <c r="F11" t="s">
        <v>42</v>
      </c>
      <c r="G11">
        <v>3</v>
      </c>
      <c r="H11" t="s">
        <v>35</v>
      </c>
      <c r="I11" s="4" t="s">
        <v>194</v>
      </c>
      <c r="J11" s="4" t="s">
        <v>35</v>
      </c>
      <c r="K11" t="s">
        <v>22</v>
      </c>
      <c r="L11">
        <v>100</v>
      </c>
      <c r="M11">
        <v>310</v>
      </c>
      <c r="N11">
        <v>265</v>
      </c>
      <c r="O11">
        <v>300</v>
      </c>
      <c r="P11">
        <v>0.8</v>
      </c>
      <c r="Q11">
        <f>1400*2.20462</f>
        <v>3086.4679999999998</v>
      </c>
    </row>
    <row r="12" spans="1:18">
      <c r="A12" t="s">
        <v>2</v>
      </c>
      <c r="B12" t="s">
        <v>10</v>
      </c>
      <c r="C12" t="s">
        <v>11</v>
      </c>
      <c r="D12" t="s">
        <v>37</v>
      </c>
      <c r="E12" t="s">
        <v>36</v>
      </c>
      <c r="F12" t="s">
        <v>43</v>
      </c>
      <c r="G12">
        <v>3</v>
      </c>
      <c r="H12" t="s">
        <v>35</v>
      </c>
      <c r="I12" s="4" t="s">
        <v>194</v>
      </c>
      <c r="J12" s="4" t="s">
        <v>35</v>
      </c>
      <c r="K12" t="s">
        <v>22</v>
      </c>
      <c r="L12">
        <v>100</v>
      </c>
      <c r="M12">
        <v>300</v>
      </c>
      <c r="N12">
        <v>265</v>
      </c>
      <c r="O12">
        <v>300</v>
      </c>
      <c r="P12">
        <v>0.77</v>
      </c>
      <c r="Q12">
        <f>1400*2.20462</f>
        <v>3086.4679999999998</v>
      </c>
    </row>
    <row r="13" spans="1:18">
      <c r="A13" t="s">
        <v>2</v>
      </c>
      <c r="B13" t="s">
        <v>10</v>
      </c>
      <c r="C13" t="s">
        <v>11</v>
      </c>
      <c r="D13" t="s">
        <v>37</v>
      </c>
      <c r="E13" t="s">
        <v>36</v>
      </c>
      <c r="F13" t="s">
        <v>46</v>
      </c>
      <c r="G13">
        <v>2</v>
      </c>
      <c r="H13" t="s">
        <v>35</v>
      </c>
      <c r="I13" s="4" t="s">
        <v>194</v>
      </c>
      <c r="J13" s="4" t="s">
        <v>35</v>
      </c>
      <c r="K13" t="s">
        <v>22</v>
      </c>
      <c r="L13">
        <v>100</v>
      </c>
      <c r="M13">
        <v>300</v>
      </c>
      <c r="N13">
        <v>265</v>
      </c>
      <c r="O13">
        <v>290</v>
      </c>
      <c r="P13">
        <v>0.8</v>
      </c>
      <c r="Q13">
        <f>1400*2.20462</f>
        <v>3086.4679999999998</v>
      </c>
      <c r="R13" t="s">
        <v>38</v>
      </c>
    </row>
    <row r="14" spans="1:18">
      <c r="A14" t="s">
        <v>2</v>
      </c>
      <c r="B14" t="s">
        <v>10</v>
      </c>
      <c r="C14" t="s">
        <v>11</v>
      </c>
      <c r="D14" t="s">
        <v>54</v>
      </c>
      <c r="E14" t="s">
        <v>36</v>
      </c>
      <c r="F14" t="s">
        <v>44</v>
      </c>
      <c r="G14">
        <v>2</v>
      </c>
      <c r="H14" t="s">
        <v>35</v>
      </c>
      <c r="I14" s="4" t="s">
        <v>194</v>
      </c>
      <c r="J14" s="4" t="s">
        <v>35</v>
      </c>
      <c r="K14" t="s">
        <v>22</v>
      </c>
      <c r="L14">
        <v>100</v>
      </c>
      <c r="M14">
        <v>300</v>
      </c>
      <c r="N14">
        <v>265</v>
      </c>
      <c r="O14">
        <v>290</v>
      </c>
      <c r="P14">
        <v>0.78</v>
      </c>
      <c r="Q14">
        <f>1400*2.20462</f>
        <v>3086.4679999999998</v>
      </c>
      <c r="R14" t="s">
        <v>38</v>
      </c>
    </row>
    <row r="15" spans="1:18">
      <c r="A15" t="s">
        <v>2</v>
      </c>
      <c r="B15" t="s">
        <v>10</v>
      </c>
      <c r="C15" t="s">
        <v>11</v>
      </c>
      <c r="D15" t="s">
        <v>45</v>
      </c>
      <c r="E15" t="s">
        <v>30</v>
      </c>
      <c r="F15" t="s">
        <v>39</v>
      </c>
      <c r="G15">
        <v>3</v>
      </c>
      <c r="H15" t="s">
        <v>35</v>
      </c>
      <c r="I15" s="4" t="s">
        <v>194</v>
      </c>
      <c r="J15" s="4" t="s">
        <v>35</v>
      </c>
      <c r="K15" t="s">
        <v>22</v>
      </c>
      <c r="L15">
        <v>80</v>
      </c>
      <c r="M15">
        <v>300</v>
      </c>
      <c r="N15">
        <v>265</v>
      </c>
      <c r="O15">
        <v>315</v>
      </c>
      <c r="P15">
        <v>0.76</v>
      </c>
      <c r="Q15">
        <f t="shared" ref="Q15:Q29" si="0">1400*2.20462</f>
        <v>3086.4679999999998</v>
      </c>
    </row>
    <row r="16" spans="1:18">
      <c r="A16" t="s">
        <v>2</v>
      </c>
      <c r="B16" t="s">
        <v>10</v>
      </c>
      <c r="C16" t="s">
        <v>11</v>
      </c>
      <c r="D16" t="s">
        <v>47</v>
      </c>
      <c r="E16" t="s">
        <v>30</v>
      </c>
      <c r="F16" t="s">
        <v>39</v>
      </c>
      <c r="G16">
        <v>3</v>
      </c>
      <c r="H16" t="s">
        <v>35</v>
      </c>
      <c r="I16" s="4" t="s">
        <v>194</v>
      </c>
      <c r="J16" s="4" t="s">
        <v>35</v>
      </c>
      <c r="K16" t="s">
        <v>22</v>
      </c>
      <c r="L16">
        <v>80</v>
      </c>
      <c r="M16">
        <v>300</v>
      </c>
      <c r="N16">
        <v>265</v>
      </c>
      <c r="O16">
        <v>315</v>
      </c>
      <c r="P16">
        <v>0.76</v>
      </c>
      <c r="Q16">
        <f t="shared" si="0"/>
        <v>3086.4679999999998</v>
      </c>
    </row>
    <row r="17" spans="1:17">
      <c r="A17" t="s">
        <v>2</v>
      </c>
      <c r="B17" t="s">
        <v>10</v>
      </c>
      <c r="C17" t="s">
        <v>11</v>
      </c>
      <c r="D17" t="s">
        <v>48</v>
      </c>
      <c r="E17" t="s">
        <v>30</v>
      </c>
      <c r="F17" t="s">
        <v>22</v>
      </c>
      <c r="G17">
        <v>3</v>
      </c>
      <c r="H17" t="s">
        <v>35</v>
      </c>
      <c r="I17" s="4" t="s">
        <v>194</v>
      </c>
      <c r="J17" s="4" t="s">
        <v>35</v>
      </c>
      <c r="K17" t="s">
        <v>22</v>
      </c>
      <c r="L17">
        <v>80</v>
      </c>
      <c r="M17">
        <v>300</v>
      </c>
      <c r="N17">
        <v>265</v>
      </c>
      <c r="O17">
        <v>315</v>
      </c>
      <c r="P17">
        <v>0.76</v>
      </c>
      <c r="Q17">
        <f t="shared" si="0"/>
        <v>3086.4679999999998</v>
      </c>
    </row>
    <row r="18" spans="1:17">
      <c r="A18" t="s">
        <v>2</v>
      </c>
      <c r="B18" t="s">
        <v>10</v>
      </c>
      <c r="C18" t="s">
        <v>11</v>
      </c>
      <c r="D18" t="s">
        <v>48</v>
      </c>
      <c r="E18" t="s">
        <v>30</v>
      </c>
      <c r="F18" t="s">
        <v>41</v>
      </c>
      <c r="G18">
        <v>3</v>
      </c>
      <c r="H18" t="s">
        <v>35</v>
      </c>
      <c r="I18" s="4" t="s">
        <v>194</v>
      </c>
      <c r="J18" s="4" t="s">
        <v>35</v>
      </c>
      <c r="K18" t="s">
        <v>22</v>
      </c>
      <c r="L18">
        <v>80</v>
      </c>
      <c r="M18">
        <v>300</v>
      </c>
      <c r="N18">
        <v>265</v>
      </c>
      <c r="O18">
        <v>315</v>
      </c>
      <c r="P18">
        <v>0.76</v>
      </c>
      <c r="Q18">
        <f t="shared" si="0"/>
        <v>3086.4679999999998</v>
      </c>
    </row>
    <row r="19" spans="1:17">
      <c r="A19" t="s">
        <v>2</v>
      </c>
      <c r="B19" t="s">
        <v>10</v>
      </c>
      <c r="C19" t="s">
        <v>11</v>
      </c>
      <c r="D19" t="s">
        <v>48</v>
      </c>
      <c r="E19" t="s">
        <v>30</v>
      </c>
      <c r="F19" t="s">
        <v>49</v>
      </c>
      <c r="G19">
        <v>3</v>
      </c>
      <c r="H19" t="s">
        <v>35</v>
      </c>
      <c r="I19" s="4" t="s">
        <v>194</v>
      </c>
      <c r="J19" s="4" t="s">
        <v>35</v>
      </c>
      <c r="K19" t="s">
        <v>22</v>
      </c>
      <c r="L19">
        <v>80</v>
      </c>
      <c r="M19">
        <v>300</v>
      </c>
      <c r="N19">
        <v>265</v>
      </c>
      <c r="O19">
        <v>315</v>
      </c>
      <c r="P19">
        <v>0.76</v>
      </c>
      <c r="Q19">
        <f t="shared" si="0"/>
        <v>3086.4679999999998</v>
      </c>
    </row>
    <row r="20" spans="1:17">
      <c r="A20" t="s">
        <v>2</v>
      </c>
      <c r="B20" t="s">
        <v>10</v>
      </c>
      <c r="C20" t="s">
        <v>11</v>
      </c>
      <c r="D20" t="s">
        <v>50</v>
      </c>
      <c r="E20" t="s">
        <v>30</v>
      </c>
      <c r="F20" t="s">
        <v>39</v>
      </c>
      <c r="G20">
        <v>3</v>
      </c>
      <c r="H20" t="s">
        <v>35</v>
      </c>
      <c r="I20" s="4" t="s">
        <v>194</v>
      </c>
      <c r="J20" s="4" t="s">
        <v>35</v>
      </c>
      <c r="K20" t="s">
        <v>22</v>
      </c>
      <c r="L20">
        <v>80</v>
      </c>
      <c r="M20">
        <v>300</v>
      </c>
      <c r="N20">
        <v>265</v>
      </c>
      <c r="O20">
        <v>315</v>
      </c>
      <c r="P20">
        <v>0.76</v>
      </c>
      <c r="Q20">
        <f t="shared" si="0"/>
        <v>3086.4679999999998</v>
      </c>
    </row>
    <row r="21" spans="1:17">
      <c r="A21" t="s">
        <v>2</v>
      </c>
      <c r="B21" t="s">
        <v>10</v>
      </c>
      <c r="C21" t="s">
        <v>11</v>
      </c>
      <c r="D21" t="s">
        <v>51</v>
      </c>
      <c r="E21" t="s">
        <v>30</v>
      </c>
      <c r="F21" t="s">
        <v>39</v>
      </c>
      <c r="G21">
        <v>3</v>
      </c>
      <c r="H21" t="s">
        <v>35</v>
      </c>
      <c r="I21" s="4" t="s">
        <v>194</v>
      </c>
      <c r="J21" s="4" t="s">
        <v>35</v>
      </c>
      <c r="K21" t="s">
        <v>22</v>
      </c>
      <c r="L21">
        <v>80</v>
      </c>
      <c r="M21">
        <v>300</v>
      </c>
      <c r="N21">
        <v>265</v>
      </c>
      <c r="O21">
        <v>315</v>
      </c>
      <c r="P21">
        <v>0.76</v>
      </c>
      <c r="Q21">
        <f t="shared" si="0"/>
        <v>3086.4679999999998</v>
      </c>
    </row>
    <row r="22" spans="1:17">
      <c r="A22" t="s">
        <v>2</v>
      </c>
      <c r="B22" t="s">
        <v>10</v>
      </c>
      <c r="C22" t="s">
        <v>11</v>
      </c>
      <c r="D22" t="s">
        <v>52</v>
      </c>
      <c r="E22" t="s">
        <v>30</v>
      </c>
      <c r="F22" t="s">
        <v>41</v>
      </c>
      <c r="G22">
        <v>3</v>
      </c>
      <c r="H22" t="s">
        <v>35</v>
      </c>
      <c r="I22" s="4" t="s">
        <v>194</v>
      </c>
      <c r="J22" s="4" t="s">
        <v>35</v>
      </c>
      <c r="K22" t="s">
        <v>22</v>
      </c>
      <c r="L22">
        <v>80</v>
      </c>
      <c r="M22">
        <v>300</v>
      </c>
      <c r="N22">
        <v>265</v>
      </c>
      <c r="O22">
        <v>315</v>
      </c>
      <c r="P22">
        <v>0.76</v>
      </c>
      <c r="Q22">
        <f t="shared" si="0"/>
        <v>3086.4679999999998</v>
      </c>
    </row>
    <row r="23" spans="1:17">
      <c r="A23" t="s">
        <v>2</v>
      </c>
      <c r="B23" t="s">
        <v>10</v>
      </c>
      <c r="C23" t="s">
        <v>11</v>
      </c>
      <c r="D23" t="s">
        <v>54</v>
      </c>
      <c r="E23" t="s">
        <v>30</v>
      </c>
      <c r="F23" t="s">
        <v>41</v>
      </c>
      <c r="G23">
        <v>3</v>
      </c>
      <c r="H23" t="s">
        <v>35</v>
      </c>
      <c r="I23" s="4" t="s">
        <v>194</v>
      </c>
      <c r="J23" s="4" t="s">
        <v>35</v>
      </c>
      <c r="K23" t="s">
        <v>22</v>
      </c>
      <c r="L23">
        <v>80</v>
      </c>
      <c r="M23">
        <v>300</v>
      </c>
      <c r="N23">
        <v>265</v>
      </c>
      <c r="O23">
        <v>315</v>
      </c>
      <c r="P23">
        <v>0.76</v>
      </c>
      <c r="Q23">
        <f t="shared" si="0"/>
        <v>3086.4679999999998</v>
      </c>
    </row>
    <row r="24" spans="1:17">
      <c r="A24" t="s">
        <v>2</v>
      </c>
      <c r="B24" t="s">
        <v>10</v>
      </c>
      <c r="C24" t="s">
        <v>11</v>
      </c>
      <c r="D24" t="s">
        <v>54</v>
      </c>
      <c r="E24" t="s">
        <v>30</v>
      </c>
      <c r="F24" t="s">
        <v>23</v>
      </c>
      <c r="G24">
        <v>3</v>
      </c>
      <c r="H24" t="s">
        <v>35</v>
      </c>
      <c r="I24" s="4" t="s">
        <v>194</v>
      </c>
      <c r="J24" s="4" t="s">
        <v>35</v>
      </c>
      <c r="K24" t="s">
        <v>22</v>
      </c>
      <c r="L24">
        <v>80</v>
      </c>
      <c r="M24">
        <v>300</v>
      </c>
      <c r="N24">
        <v>265</v>
      </c>
      <c r="O24">
        <v>315</v>
      </c>
      <c r="P24">
        <v>0.76</v>
      </c>
      <c r="Q24">
        <f t="shared" si="0"/>
        <v>3086.4679999999998</v>
      </c>
    </row>
    <row r="25" spans="1:17">
      <c r="A25" t="s">
        <v>2</v>
      </c>
      <c r="B25" t="s">
        <v>10</v>
      </c>
      <c r="C25" t="s">
        <v>11</v>
      </c>
      <c r="D25" t="s">
        <v>54</v>
      </c>
      <c r="E25" t="s">
        <v>30</v>
      </c>
      <c r="F25" t="s">
        <v>53</v>
      </c>
      <c r="G25">
        <v>3</v>
      </c>
      <c r="H25" t="s">
        <v>35</v>
      </c>
      <c r="I25" s="4" t="s">
        <v>194</v>
      </c>
      <c r="J25" s="4" t="s">
        <v>35</v>
      </c>
      <c r="K25" t="s">
        <v>22</v>
      </c>
      <c r="L25">
        <v>80</v>
      </c>
      <c r="M25">
        <v>300</v>
      </c>
      <c r="N25">
        <v>265</v>
      </c>
      <c r="O25">
        <v>315</v>
      </c>
      <c r="P25">
        <v>0.76</v>
      </c>
      <c r="Q25">
        <f t="shared" si="0"/>
        <v>3086.4679999999998</v>
      </c>
    </row>
    <row r="26" spans="1:17">
      <c r="A26" t="s">
        <v>2</v>
      </c>
      <c r="B26" t="s">
        <v>10</v>
      </c>
      <c r="C26" t="s">
        <v>11</v>
      </c>
      <c r="D26" t="s">
        <v>55</v>
      </c>
      <c r="E26" t="s">
        <v>30</v>
      </c>
      <c r="F26" t="s">
        <v>39</v>
      </c>
      <c r="G26">
        <v>3</v>
      </c>
      <c r="H26" t="s">
        <v>35</v>
      </c>
      <c r="I26" s="4" t="s">
        <v>194</v>
      </c>
      <c r="J26" s="4" t="s">
        <v>35</v>
      </c>
      <c r="K26" t="s">
        <v>22</v>
      </c>
      <c r="L26">
        <v>80</v>
      </c>
      <c r="M26">
        <v>300</v>
      </c>
      <c r="N26">
        <v>265</v>
      </c>
      <c r="O26">
        <v>315</v>
      </c>
      <c r="P26">
        <v>0.76</v>
      </c>
      <c r="Q26">
        <f t="shared" si="0"/>
        <v>3086.4679999999998</v>
      </c>
    </row>
    <row r="27" spans="1:17">
      <c r="A27" t="s">
        <v>2</v>
      </c>
      <c r="B27" t="s">
        <v>10</v>
      </c>
      <c r="C27" t="s">
        <v>11</v>
      </c>
      <c r="D27" t="s">
        <v>1</v>
      </c>
      <c r="E27" t="s">
        <v>30</v>
      </c>
      <c r="F27" t="s">
        <v>41</v>
      </c>
      <c r="G27">
        <v>3</v>
      </c>
      <c r="H27" t="s">
        <v>35</v>
      </c>
      <c r="I27" s="4" t="s">
        <v>194</v>
      </c>
      <c r="J27" s="4" t="s">
        <v>35</v>
      </c>
      <c r="K27" t="s">
        <v>22</v>
      </c>
      <c r="L27">
        <v>80</v>
      </c>
      <c r="M27">
        <v>300</v>
      </c>
      <c r="N27">
        <v>265</v>
      </c>
      <c r="O27">
        <v>315</v>
      </c>
      <c r="P27">
        <v>0.76</v>
      </c>
      <c r="Q27">
        <f t="shared" si="0"/>
        <v>3086.4679999999998</v>
      </c>
    </row>
    <row r="28" spans="1:17">
      <c r="A28" t="s">
        <v>2</v>
      </c>
      <c r="B28" t="s">
        <v>10</v>
      </c>
      <c r="C28" t="s">
        <v>11</v>
      </c>
      <c r="D28" t="s">
        <v>37</v>
      </c>
      <c r="E28" t="s">
        <v>56</v>
      </c>
      <c r="F28" t="s">
        <v>39</v>
      </c>
      <c r="G28">
        <v>3</v>
      </c>
      <c r="H28" t="s">
        <v>35</v>
      </c>
      <c r="I28" s="4" t="s">
        <v>194</v>
      </c>
      <c r="J28" s="4" t="s">
        <v>35</v>
      </c>
      <c r="K28" t="s">
        <v>22</v>
      </c>
      <c r="L28">
        <v>80</v>
      </c>
      <c r="M28">
        <v>320</v>
      </c>
      <c r="N28">
        <v>265</v>
      </c>
      <c r="O28">
        <v>315</v>
      </c>
      <c r="P28">
        <v>0.76</v>
      </c>
      <c r="Q28">
        <f t="shared" si="0"/>
        <v>3086.4679999999998</v>
      </c>
    </row>
    <row r="29" spans="1:17">
      <c r="A29" t="s">
        <v>2</v>
      </c>
      <c r="B29" t="s">
        <v>10</v>
      </c>
      <c r="C29" t="s">
        <v>11</v>
      </c>
      <c r="D29" t="s">
        <v>37</v>
      </c>
      <c r="E29" t="s">
        <v>56</v>
      </c>
      <c r="F29" t="s">
        <v>22</v>
      </c>
      <c r="G29">
        <v>3</v>
      </c>
      <c r="H29" t="s">
        <v>35</v>
      </c>
      <c r="I29" s="4" t="s">
        <v>194</v>
      </c>
      <c r="J29" s="4" t="s">
        <v>35</v>
      </c>
      <c r="K29" t="s">
        <v>22</v>
      </c>
      <c r="L29">
        <v>80</v>
      </c>
      <c r="M29">
        <v>320</v>
      </c>
      <c r="N29">
        <v>265</v>
      </c>
      <c r="O29">
        <v>315</v>
      </c>
      <c r="P29">
        <v>0.76</v>
      </c>
      <c r="Q29">
        <f t="shared" si="0"/>
        <v>3086.4679999999998</v>
      </c>
    </row>
    <row r="30" spans="1:17">
      <c r="A30" t="s">
        <v>2</v>
      </c>
      <c r="B30" t="s">
        <v>10</v>
      </c>
      <c r="C30" t="s">
        <v>11</v>
      </c>
      <c r="D30" t="s">
        <v>1</v>
      </c>
      <c r="E30" t="s">
        <v>31</v>
      </c>
      <c r="F30" t="s">
        <v>39</v>
      </c>
      <c r="G30">
        <v>3</v>
      </c>
      <c r="H30" t="s">
        <v>35</v>
      </c>
      <c r="I30" s="4" t="s">
        <v>194</v>
      </c>
      <c r="J30" s="4" t="s">
        <v>35</v>
      </c>
      <c r="K30" t="s">
        <v>22</v>
      </c>
      <c r="L30">
        <v>80</v>
      </c>
      <c r="M30">
        <v>350</v>
      </c>
      <c r="N30">
        <v>270</v>
      </c>
      <c r="O30">
        <v>315</v>
      </c>
      <c r="P30">
        <v>0.82</v>
      </c>
      <c r="Q30">
        <f>800*2.20462</f>
        <v>1763.6959999999999</v>
      </c>
    </row>
    <row r="31" spans="1:17">
      <c r="A31" t="s">
        <v>2</v>
      </c>
      <c r="B31" t="s">
        <v>10</v>
      </c>
      <c r="C31" t="s">
        <v>11</v>
      </c>
      <c r="D31" t="s">
        <v>101</v>
      </c>
      <c r="E31" t="s">
        <v>21</v>
      </c>
      <c r="F31" t="s">
        <v>39</v>
      </c>
      <c r="G31">
        <v>3</v>
      </c>
      <c r="H31" t="s">
        <v>35</v>
      </c>
      <c r="I31" s="4" t="s">
        <v>194</v>
      </c>
      <c r="J31" s="4" t="s">
        <v>35</v>
      </c>
      <c r="K31" t="s">
        <v>22</v>
      </c>
      <c r="L31">
        <v>80</v>
      </c>
      <c r="M31">
        <v>350</v>
      </c>
      <c r="N31">
        <v>265</v>
      </c>
      <c r="O31">
        <v>325</v>
      </c>
      <c r="P31">
        <v>0.84</v>
      </c>
      <c r="Q31">
        <f t="shared" ref="Q31:Q37" si="1">1000*2.20462</f>
        <v>2204.62</v>
      </c>
    </row>
    <row r="32" spans="1:17">
      <c r="A32" t="s">
        <v>2</v>
      </c>
      <c r="B32" t="s">
        <v>10</v>
      </c>
      <c r="C32" t="s">
        <v>11</v>
      </c>
      <c r="D32" t="s">
        <v>37</v>
      </c>
      <c r="E32" t="s">
        <v>21</v>
      </c>
      <c r="F32" t="s">
        <v>39</v>
      </c>
      <c r="G32">
        <v>3</v>
      </c>
      <c r="H32" t="s">
        <v>35</v>
      </c>
      <c r="I32" s="4" t="s">
        <v>194</v>
      </c>
      <c r="J32" s="4" t="s">
        <v>35</v>
      </c>
      <c r="K32" t="s">
        <v>22</v>
      </c>
      <c r="L32">
        <v>80</v>
      </c>
      <c r="M32">
        <v>350</v>
      </c>
      <c r="N32">
        <v>265</v>
      </c>
      <c r="O32">
        <v>325</v>
      </c>
      <c r="P32">
        <v>0.84</v>
      </c>
      <c r="Q32">
        <f t="shared" si="1"/>
        <v>2204.62</v>
      </c>
    </row>
    <row r="33" spans="1:17">
      <c r="A33" t="s">
        <v>2</v>
      </c>
      <c r="B33" t="s">
        <v>10</v>
      </c>
      <c r="C33" t="s">
        <v>11</v>
      </c>
      <c r="D33" t="s">
        <v>47</v>
      </c>
      <c r="E33" t="s">
        <v>21</v>
      </c>
      <c r="F33" t="s">
        <v>39</v>
      </c>
      <c r="G33">
        <v>3</v>
      </c>
      <c r="H33" t="s">
        <v>35</v>
      </c>
      <c r="I33" s="4" t="s">
        <v>194</v>
      </c>
      <c r="J33" s="4" t="s">
        <v>35</v>
      </c>
      <c r="K33" t="s">
        <v>22</v>
      </c>
      <c r="L33">
        <v>80</v>
      </c>
      <c r="M33">
        <v>350</v>
      </c>
      <c r="N33">
        <v>265</v>
      </c>
      <c r="O33">
        <v>325</v>
      </c>
      <c r="P33">
        <v>0.84</v>
      </c>
      <c r="Q33">
        <f t="shared" si="1"/>
        <v>2204.62</v>
      </c>
    </row>
    <row r="34" spans="1:17">
      <c r="A34" t="s">
        <v>2</v>
      </c>
      <c r="B34" t="s">
        <v>10</v>
      </c>
      <c r="C34" t="s">
        <v>11</v>
      </c>
      <c r="D34" t="s">
        <v>50</v>
      </c>
      <c r="E34" t="s">
        <v>21</v>
      </c>
      <c r="F34" t="s">
        <v>39</v>
      </c>
      <c r="G34">
        <v>3</v>
      </c>
      <c r="H34" t="s">
        <v>35</v>
      </c>
      <c r="I34" s="4" t="s">
        <v>194</v>
      </c>
      <c r="J34" s="4" t="s">
        <v>35</v>
      </c>
      <c r="K34" t="s">
        <v>22</v>
      </c>
      <c r="L34">
        <v>80</v>
      </c>
      <c r="M34">
        <v>350</v>
      </c>
      <c r="N34">
        <v>265</v>
      </c>
      <c r="O34">
        <v>325</v>
      </c>
      <c r="P34">
        <v>0.84</v>
      </c>
      <c r="Q34">
        <f t="shared" si="1"/>
        <v>2204.62</v>
      </c>
    </row>
    <row r="35" spans="1:17">
      <c r="A35" t="s">
        <v>2</v>
      </c>
      <c r="B35" t="s">
        <v>10</v>
      </c>
      <c r="C35" t="s">
        <v>11</v>
      </c>
      <c r="D35" t="s">
        <v>57</v>
      </c>
      <c r="E35" t="s">
        <v>21</v>
      </c>
      <c r="F35" t="s">
        <v>39</v>
      </c>
      <c r="G35">
        <v>3</v>
      </c>
      <c r="H35" t="s">
        <v>35</v>
      </c>
      <c r="I35" s="4" t="s">
        <v>194</v>
      </c>
      <c r="J35" s="4" t="s">
        <v>35</v>
      </c>
      <c r="K35" t="s">
        <v>22</v>
      </c>
      <c r="L35">
        <v>80</v>
      </c>
      <c r="M35">
        <v>350</v>
      </c>
      <c r="N35">
        <v>265</v>
      </c>
      <c r="O35">
        <v>325</v>
      </c>
      <c r="P35">
        <v>0.84</v>
      </c>
      <c r="Q35">
        <f t="shared" si="1"/>
        <v>2204.62</v>
      </c>
    </row>
    <row r="36" spans="1:17">
      <c r="A36" t="s">
        <v>2</v>
      </c>
      <c r="B36" t="s">
        <v>10</v>
      </c>
      <c r="C36" t="s">
        <v>11</v>
      </c>
      <c r="D36" t="s">
        <v>52</v>
      </c>
      <c r="E36" t="s">
        <v>21</v>
      </c>
      <c r="F36" t="s">
        <v>39</v>
      </c>
      <c r="G36">
        <v>3</v>
      </c>
      <c r="H36" t="s">
        <v>35</v>
      </c>
      <c r="I36" s="4" t="s">
        <v>194</v>
      </c>
      <c r="J36" s="4" t="s">
        <v>35</v>
      </c>
      <c r="K36" t="s">
        <v>22</v>
      </c>
      <c r="L36">
        <v>80</v>
      </c>
      <c r="M36">
        <v>350</v>
      </c>
      <c r="N36">
        <v>265</v>
      </c>
      <c r="O36">
        <v>325</v>
      </c>
      <c r="P36">
        <v>0.84</v>
      </c>
      <c r="Q36">
        <f t="shared" si="1"/>
        <v>2204.62</v>
      </c>
    </row>
    <row r="37" spans="1:17">
      <c r="A37" t="s">
        <v>2</v>
      </c>
      <c r="B37" t="s">
        <v>10</v>
      </c>
      <c r="C37" t="s">
        <v>11</v>
      </c>
      <c r="D37" t="s">
        <v>1</v>
      </c>
      <c r="E37" t="s">
        <v>21</v>
      </c>
      <c r="F37" t="s">
        <v>39</v>
      </c>
      <c r="G37">
        <v>3</v>
      </c>
      <c r="H37" t="s">
        <v>35</v>
      </c>
      <c r="I37" s="4" t="s">
        <v>194</v>
      </c>
      <c r="J37" s="4" t="s">
        <v>35</v>
      </c>
      <c r="K37" t="s">
        <v>22</v>
      </c>
      <c r="L37">
        <v>80</v>
      </c>
      <c r="M37">
        <v>350</v>
      </c>
      <c r="N37">
        <v>265</v>
      </c>
      <c r="O37">
        <v>325</v>
      </c>
      <c r="P37">
        <v>0.84</v>
      </c>
      <c r="Q37">
        <f t="shared" si="1"/>
        <v>2204.62</v>
      </c>
    </row>
    <row r="38" spans="1:17">
      <c r="A38" t="s">
        <v>2</v>
      </c>
      <c r="B38" t="s">
        <v>10</v>
      </c>
      <c r="C38" t="s">
        <v>11</v>
      </c>
      <c r="D38" t="s">
        <v>54</v>
      </c>
      <c r="E38" t="s">
        <v>10</v>
      </c>
      <c r="F38" t="s">
        <v>58</v>
      </c>
      <c r="G38">
        <v>3</v>
      </c>
      <c r="H38" t="s">
        <v>35</v>
      </c>
      <c r="I38" s="4" t="s">
        <v>194</v>
      </c>
      <c r="J38" s="4" t="s">
        <v>35</v>
      </c>
      <c r="K38" t="s">
        <v>22</v>
      </c>
      <c r="L38">
        <v>150</v>
      </c>
      <c r="M38">
        <v>300</v>
      </c>
      <c r="N38">
        <v>250</v>
      </c>
      <c r="O38">
        <v>290</v>
      </c>
      <c r="P38">
        <v>0.8</v>
      </c>
      <c r="Q38">
        <f>3600*2.20462</f>
        <v>7936.6319999999996</v>
      </c>
    </row>
    <row r="39" spans="1:17">
      <c r="A39" t="s">
        <v>2</v>
      </c>
      <c r="B39" t="s">
        <v>10</v>
      </c>
      <c r="C39" t="s">
        <v>11</v>
      </c>
      <c r="D39" t="s">
        <v>1</v>
      </c>
      <c r="E39" t="s">
        <v>33</v>
      </c>
      <c r="F39" t="s">
        <v>39</v>
      </c>
      <c r="G39">
        <v>3</v>
      </c>
      <c r="H39" t="s">
        <v>35</v>
      </c>
      <c r="I39" s="4" t="s">
        <v>194</v>
      </c>
      <c r="J39" s="4" t="s">
        <v>35</v>
      </c>
      <c r="K39" t="s">
        <v>22</v>
      </c>
      <c r="L39">
        <v>80</v>
      </c>
      <c r="M39">
        <v>280</v>
      </c>
      <c r="N39">
        <v>250</v>
      </c>
      <c r="O39">
        <v>300</v>
      </c>
      <c r="P39">
        <v>0.76</v>
      </c>
      <c r="Q39">
        <f>1900*2.20462</f>
        <v>4188.7779999999993</v>
      </c>
    </row>
    <row r="40" spans="1:17">
      <c r="A40" t="s">
        <v>2</v>
      </c>
      <c r="B40" t="s">
        <v>10</v>
      </c>
      <c r="C40" t="s">
        <v>11</v>
      </c>
      <c r="D40" t="s">
        <v>1</v>
      </c>
      <c r="E40" t="s">
        <v>28</v>
      </c>
      <c r="F40" t="s">
        <v>39</v>
      </c>
      <c r="G40">
        <v>3</v>
      </c>
      <c r="H40" t="s">
        <v>35</v>
      </c>
      <c r="I40" s="4" t="s">
        <v>194</v>
      </c>
      <c r="J40" s="4" t="s">
        <v>35</v>
      </c>
      <c r="K40" t="s">
        <v>22</v>
      </c>
      <c r="L40">
        <v>100</v>
      </c>
      <c r="M40">
        <v>270</v>
      </c>
      <c r="N40">
        <v>250</v>
      </c>
      <c r="O40">
        <v>270</v>
      </c>
      <c r="P40">
        <v>0.8</v>
      </c>
      <c r="Q40">
        <f>3600*2.20462</f>
        <v>7936.6319999999996</v>
      </c>
    </row>
    <row r="41" spans="1:17">
      <c r="A41" t="s">
        <v>2</v>
      </c>
      <c r="B41" t="s">
        <v>10</v>
      </c>
      <c r="C41" t="s">
        <v>11</v>
      </c>
      <c r="D41" t="s">
        <v>1</v>
      </c>
      <c r="E41" t="s">
        <v>29</v>
      </c>
      <c r="F41" t="s">
        <v>61</v>
      </c>
      <c r="G41">
        <v>2</v>
      </c>
      <c r="H41" t="s">
        <v>35</v>
      </c>
      <c r="I41" s="4" t="s">
        <v>194</v>
      </c>
      <c r="J41" s="4" t="s">
        <v>35</v>
      </c>
      <c r="K41" t="s">
        <v>22</v>
      </c>
      <c r="L41">
        <v>150</v>
      </c>
      <c r="M41">
        <v>300</v>
      </c>
      <c r="N41">
        <v>250</v>
      </c>
      <c r="O41">
        <v>290</v>
      </c>
      <c r="P41">
        <v>0.8</v>
      </c>
      <c r="Q41">
        <f>2800*2.20462</f>
        <v>6172.9359999999997</v>
      </c>
    </row>
    <row r="42" spans="1:17">
      <c r="A42" t="s">
        <v>2</v>
      </c>
      <c r="B42" t="s">
        <v>10</v>
      </c>
      <c r="C42" t="s">
        <v>11</v>
      </c>
      <c r="D42" t="s">
        <v>1</v>
      </c>
      <c r="E42" t="s">
        <v>0</v>
      </c>
      <c r="F42" t="s">
        <v>39</v>
      </c>
      <c r="G42">
        <v>3</v>
      </c>
      <c r="H42" t="s">
        <v>35</v>
      </c>
      <c r="I42" s="4" t="s">
        <v>194</v>
      </c>
      <c r="J42" s="4" t="s">
        <v>35</v>
      </c>
      <c r="K42" t="s">
        <v>22</v>
      </c>
      <c r="L42">
        <v>150</v>
      </c>
      <c r="M42">
        <v>280</v>
      </c>
      <c r="N42">
        <v>265</v>
      </c>
      <c r="O42">
        <v>285</v>
      </c>
      <c r="P42">
        <v>0.8</v>
      </c>
      <c r="Q42">
        <f>3600 *2.20462</f>
        <v>7936.6319999999996</v>
      </c>
    </row>
    <row r="43" spans="1:17">
      <c r="A43" t="s">
        <v>2</v>
      </c>
      <c r="B43" t="s">
        <v>10</v>
      </c>
      <c r="C43" t="s">
        <v>11</v>
      </c>
      <c r="D43" t="s">
        <v>34</v>
      </c>
      <c r="E43" t="s">
        <v>0</v>
      </c>
      <c r="F43" t="s">
        <v>39</v>
      </c>
      <c r="G43">
        <v>3</v>
      </c>
      <c r="H43" t="s">
        <v>35</v>
      </c>
      <c r="I43" s="4" t="s">
        <v>194</v>
      </c>
      <c r="J43" s="4" t="s">
        <v>35</v>
      </c>
      <c r="K43" t="s">
        <v>22</v>
      </c>
      <c r="L43">
        <v>150</v>
      </c>
      <c r="M43">
        <v>280</v>
      </c>
      <c r="N43">
        <v>265</v>
      </c>
      <c r="O43">
        <v>285</v>
      </c>
      <c r="P43">
        <v>0.8</v>
      </c>
      <c r="Q43">
        <f>3600 *2.20462</f>
        <v>7936.6319999999996</v>
      </c>
    </row>
    <row r="44" spans="1:17">
      <c r="A44" t="s">
        <v>63</v>
      </c>
      <c r="B44" t="s">
        <v>62</v>
      </c>
      <c r="C44" t="s">
        <v>22</v>
      </c>
      <c r="D44" t="s">
        <v>2</v>
      </c>
      <c r="E44" t="s">
        <v>0</v>
      </c>
      <c r="F44" t="s">
        <v>39</v>
      </c>
      <c r="G44" t="s">
        <v>35</v>
      </c>
      <c r="H44">
        <v>3</v>
      </c>
      <c r="I44" s="4" t="s">
        <v>35</v>
      </c>
      <c r="J44" s="4" t="s">
        <v>194</v>
      </c>
      <c r="K44" t="s">
        <v>22</v>
      </c>
      <c r="L44">
        <v>120</v>
      </c>
      <c r="M44">
        <v>310</v>
      </c>
      <c r="N44">
        <v>275</v>
      </c>
      <c r="O44">
        <v>290</v>
      </c>
    </row>
    <row r="45" spans="1:17">
      <c r="A45" t="s">
        <v>2</v>
      </c>
      <c r="B45" t="s">
        <v>10</v>
      </c>
      <c r="C45" t="s">
        <v>11</v>
      </c>
      <c r="D45" t="s">
        <v>1</v>
      </c>
      <c r="E45" t="s">
        <v>32</v>
      </c>
      <c r="F45" t="s">
        <v>70</v>
      </c>
      <c r="G45">
        <v>3</v>
      </c>
      <c r="H45" t="s">
        <v>35</v>
      </c>
      <c r="I45" s="4" t="s">
        <v>194</v>
      </c>
      <c r="J45" s="4" t="s">
        <v>35</v>
      </c>
      <c r="K45" t="s">
        <v>60</v>
      </c>
      <c r="L45">
        <v>150</v>
      </c>
      <c r="M45">
        <v>350</v>
      </c>
      <c r="N45">
        <v>250</v>
      </c>
      <c r="O45">
        <v>300</v>
      </c>
      <c r="P45">
        <v>0.8</v>
      </c>
      <c r="Q45">
        <f t="shared" ref="Q45:Q50" si="2">1100*2.20462</f>
        <v>2425.0819999999999</v>
      </c>
    </row>
    <row r="46" spans="1:17">
      <c r="A46" t="s">
        <v>2</v>
      </c>
      <c r="B46" t="s">
        <v>10</v>
      </c>
      <c r="C46" t="s">
        <v>11</v>
      </c>
      <c r="D46" t="s">
        <v>1</v>
      </c>
      <c r="E46" t="s">
        <v>32</v>
      </c>
      <c r="F46" t="s">
        <v>71</v>
      </c>
      <c r="G46">
        <v>3</v>
      </c>
      <c r="H46" t="s">
        <v>35</v>
      </c>
      <c r="I46" s="4" t="s">
        <v>194</v>
      </c>
      <c r="J46" s="4" t="s">
        <v>35</v>
      </c>
      <c r="K46" t="s">
        <v>60</v>
      </c>
      <c r="L46">
        <v>150</v>
      </c>
      <c r="M46">
        <v>350</v>
      </c>
      <c r="N46">
        <v>250</v>
      </c>
      <c r="O46">
        <v>300</v>
      </c>
      <c r="P46">
        <v>0.8</v>
      </c>
      <c r="Q46">
        <f t="shared" si="2"/>
        <v>2425.0819999999999</v>
      </c>
    </row>
    <row r="47" spans="1:17">
      <c r="A47" t="s">
        <v>2</v>
      </c>
      <c r="B47" t="s">
        <v>10</v>
      </c>
      <c r="C47" t="s">
        <v>11</v>
      </c>
      <c r="D47" t="s">
        <v>1</v>
      </c>
      <c r="E47" t="s">
        <v>20</v>
      </c>
      <c r="F47" t="s">
        <v>40</v>
      </c>
      <c r="G47">
        <v>3</v>
      </c>
      <c r="H47" t="s">
        <v>35</v>
      </c>
      <c r="I47" s="4" t="s">
        <v>194</v>
      </c>
      <c r="J47" s="4" t="s">
        <v>35</v>
      </c>
      <c r="K47" t="s">
        <v>60</v>
      </c>
      <c r="L47">
        <v>150</v>
      </c>
      <c r="M47">
        <v>350</v>
      </c>
      <c r="N47">
        <v>250</v>
      </c>
      <c r="O47">
        <v>300</v>
      </c>
      <c r="P47">
        <v>0.8</v>
      </c>
      <c r="Q47">
        <f t="shared" si="2"/>
        <v>2425.0819999999999</v>
      </c>
    </row>
    <row r="48" spans="1:17">
      <c r="A48" t="s">
        <v>2</v>
      </c>
      <c r="B48" t="s">
        <v>10</v>
      </c>
      <c r="C48" t="s">
        <v>11</v>
      </c>
      <c r="D48" t="s">
        <v>1</v>
      </c>
      <c r="E48" t="s">
        <v>32</v>
      </c>
      <c r="F48" t="s">
        <v>39</v>
      </c>
      <c r="G48">
        <v>3</v>
      </c>
      <c r="H48" t="s">
        <v>35</v>
      </c>
      <c r="I48" s="4" t="s">
        <v>194</v>
      </c>
      <c r="J48" s="4" t="s">
        <v>35</v>
      </c>
      <c r="K48" t="s">
        <v>60</v>
      </c>
      <c r="L48">
        <v>150</v>
      </c>
      <c r="M48">
        <v>350</v>
      </c>
      <c r="N48">
        <v>250</v>
      </c>
      <c r="O48">
        <v>300</v>
      </c>
      <c r="P48">
        <v>0.8</v>
      </c>
      <c r="Q48">
        <f t="shared" si="2"/>
        <v>2425.0819999999999</v>
      </c>
    </row>
    <row r="49" spans="1:17">
      <c r="A49" t="s">
        <v>2</v>
      </c>
      <c r="B49" t="s">
        <v>10</v>
      </c>
      <c r="C49" t="s">
        <v>11</v>
      </c>
      <c r="D49" t="s">
        <v>1</v>
      </c>
      <c r="E49" t="s">
        <v>32</v>
      </c>
      <c r="F49" t="s">
        <v>41</v>
      </c>
      <c r="G49">
        <v>3</v>
      </c>
      <c r="H49" t="s">
        <v>35</v>
      </c>
      <c r="I49" s="4" t="s">
        <v>194</v>
      </c>
      <c r="J49" s="4" t="s">
        <v>35</v>
      </c>
      <c r="K49" t="s">
        <v>60</v>
      </c>
      <c r="L49">
        <v>150</v>
      </c>
      <c r="M49">
        <v>350</v>
      </c>
      <c r="N49">
        <v>250</v>
      </c>
      <c r="O49">
        <v>300</v>
      </c>
      <c r="P49">
        <v>0.8</v>
      </c>
      <c r="Q49">
        <f t="shared" si="2"/>
        <v>2425.0819999999999</v>
      </c>
    </row>
    <row r="50" spans="1:17">
      <c r="A50" t="s">
        <v>2</v>
      </c>
      <c r="B50" t="s">
        <v>10</v>
      </c>
      <c r="C50" t="s">
        <v>11</v>
      </c>
      <c r="D50" t="s">
        <v>1</v>
      </c>
      <c r="E50" t="s">
        <v>32</v>
      </c>
      <c r="F50" t="s">
        <v>23</v>
      </c>
      <c r="G50">
        <v>3</v>
      </c>
      <c r="H50" t="s">
        <v>35</v>
      </c>
      <c r="I50" s="4" t="s">
        <v>194</v>
      </c>
      <c r="J50" s="4" t="s">
        <v>35</v>
      </c>
      <c r="K50" t="s">
        <v>60</v>
      </c>
      <c r="L50">
        <v>150</v>
      </c>
      <c r="M50">
        <v>350</v>
      </c>
      <c r="N50">
        <v>250</v>
      </c>
      <c r="O50">
        <v>300</v>
      </c>
      <c r="P50">
        <v>0.8</v>
      </c>
      <c r="Q50">
        <f t="shared" si="2"/>
        <v>2425.0819999999999</v>
      </c>
    </row>
    <row r="51" spans="1:17">
      <c r="A51" t="s">
        <v>2</v>
      </c>
      <c r="B51" t="s">
        <v>10</v>
      </c>
      <c r="C51" t="s">
        <v>11</v>
      </c>
      <c r="D51" t="s">
        <v>66</v>
      </c>
      <c r="E51" t="s">
        <v>72</v>
      </c>
      <c r="F51" t="s">
        <v>39</v>
      </c>
      <c r="G51">
        <v>3</v>
      </c>
      <c r="H51" t="s">
        <v>35</v>
      </c>
      <c r="I51" s="4" t="s">
        <v>194</v>
      </c>
      <c r="J51" s="4" t="s">
        <v>35</v>
      </c>
      <c r="K51" t="s">
        <v>60</v>
      </c>
      <c r="L51">
        <v>150</v>
      </c>
      <c r="M51">
        <v>350</v>
      </c>
      <c r="N51">
        <v>250</v>
      </c>
      <c r="O51">
        <v>300</v>
      </c>
      <c r="P51">
        <v>0.8</v>
      </c>
      <c r="Q51">
        <f t="shared" ref="Q51:Q55" si="3">1100*2.20462</f>
        <v>2425.0819999999999</v>
      </c>
    </row>
    <row r="52" spans="1:17">
      <c r="A52" t="s">
        <v>2</v>
      </c>
      <c r="B52" t="s">
        <v>10</v>
      </c>
      <c r="C52" t="s">
        <v>11</v>
      </c>
      <c r="D52" t="s">
        <v>66</v>
      </c>
      <c r="E52" t="s">
        <v>72</v>
      </c>
      <c r="F52" t="s">
        <v>22</v>
      </c>
      <c r="G52">
        <v>3</v>
      </c>
      <c r="H52" t="s">
        <v>35</v>
      </c>
      <c r="I52" s="4" t="s">
        <v>194</v>
      </c>
      <c r="J52" s="4" t="s">
        <v>35</v>
      </c>
      <c r="K52" t="s">
        <v>60</v>
      </c>
      <c r="L52">
        <v>150</v>
      </c>
      <c r="M52">
        <v>350</v>
      </c>
      <c r="N52">
        <v>250</v>
      </c>
      <c r="O52">
        <v>300</v>
      </c>
      <c r="P52">
        <v>0.8</v>
      </c>
      <c r="Q52">
        <f t="shared" si="3"/>
        <v>2425.0819999999999</v>
      </c>
    </row>
    <row r="53" spans="1:17">
      <c r="A53" t="s">
        <v>2</v>
      </c>
      <c r="B53" t="s">
        <v>10</v>
      </c>
      <c r="C53" t="s">
        <v>11</v>
      </c>
      <c r="D53" t="s">
        <v>67</v>
      </c>
      <c r="E53" t="s">
        <v>32</v>
      </c>
      <c r="F53" t="s">
        <v>23</v>
      </c>
      <c r="G53">
        <v>3</v>
      </c>
      <c r="H53" t="s">
        <v>35</v>
      </c>
      <c r="I53" s="4" t="s">
        <v>194</v>
      </c>
      <c r="J53" s="4" t="s">
        <v>35</v>
      </c>
      <c r="K53" t="s">
        <v>60</v>
      </c>
      <c r="L53">
        <v>150</v>
      </c>
      <c r="M53">
        <v>350</v>
      </c>
      <c r="N53">
        <v>250</v>
      </c>
      <c r="O53">
        <v>300</v>
      </c>
      <c r="P53">
        <v>0.8</v>
      </c>
      <c r="Q53">
        <f t="shared" si="3"/>
        <v>2425.0819999999999</v>
      </c>
    </row>
    <row r="54" spans="1:17">
      <c r="A54" t="s">
        <v>2</v>
      </c>
      <c r="B54" t="s">
        <v>10</v>
      </c>
      <c r="C54" t="s">
        <v>11</v>
      </c>
      <c r="D54" t="s">
        <v>68</v>
      </c>
      <c r="E54" t="s">
        <v>32</v>
      </c>
      <c r="F54" t="s">
        <v>41</v>
      </c>
      <c r="G54">
        <v>3</v>
      </c>
      <c r="H54" t="s">
        <v>35</v>
      </c>
      <c r="I54" s="4" t="s">
        <v>194</v>
      </c>
      <c r="J54" s="4" t="s">
        <v>35</v>
      </c>
      <c r="K54" t="s">
        <v>60</v>
      </c>
      <c r="L54">
        <v>150</v>
      </c>
      <c r="M54">
        <v>350</v>
      </c>
      <c r="N54">
        <v>250</v>
      </c>
      <c r="O54">
        <v>300</v>
      </c>
      <c r="P54">
        <v>0.8</v>
      </c>
      <c r="Q54">
        <f t="shared" si="3"/>
        <v>2425.0819999999999</v>
      </c>
    </row>
    <row r="55" spans="1:17">
      <c r="A55" t="s">
        <v>2</v>
      </c>
      <c r="B55" t="s">
        <v>10</v>
      </c>
      <c r="C55" t="s">
        <v>11</v>
      </c>
      <c r="D55" t="s">
        <v>68</v>
      </c>
      <c r="E55" t="s">
        <v>32</v>
      </c>
      <c r="F55" t="s">
        <v>23</v>
      </c>
      <c r="G55">
        <v>3</v>
      </c>
      <c r="H55" t="s">
        <v>35</v>
      </c>
      <c r="I55" s="4" t="s">
        <v>194</v>
      </c>
      <c r="J55" s="4" t="s">
        <v>35</v>
      </c>
      <c r="K55" t="s">
        <v>60</v>
      </c>
      <c r="L55">
        <v>150</v>
      </c>
      <c r="M55">
        <v>350</v>
      </c>
      <c r="N55">
        <v>250</v>
      </c>
      <c r="O55">
        <v>300</v>
      </c>
      <c r="P55">
        <v>0.8</v>
      </c>
      <c r="Q55">
        <f t="shared" si="3"/>
        <v>2425.0819999999999</v>
      </c>
    </row>
    <row r="56" spans="1:17">
      <c r="A56" t="s">
        <v>2</v>
      </c>
      <c r="B56" t="s">
        <v>10</v>
      </c>
      <c r="C56" t="s">
        <v>11</v>
      </c>
      <c r="D56" t="s">
        <v>69</v>
      </c>
      <c r="E56" t="s">
        <v>73</v>
      </c>
      <c r="F56" t="s">
        <v>39</v>
      </c>
      <c r="G56">
        <v>3</v>
      </c>
      <c r="H56" t="s">
        <v>35</v>
      </c>
      <c r="I56" s="4" t="s">
        <v>194</v>
      </c>
      <c r="J56" s="4" t="s">
        <v>35</v>
      </c>
      <c r="K56" t="s">
        <v>60</v>
      </c>
      <c r="L56">
        <v>150</v>
      </c>
      <c r="M56">
        <v>350</v>
      </c>
      <c r="N56">
        <v>250</v>
      </c>
      <c r="O56">
        <v>300</v>
      </c>
      <c r="P56">
        <v>0.8</v>
      </c>
      <c r="Q56">
        <f t="shared" ref="Q56:Q61" si="4">1100*2.20462</f>
        <v>2425.0819999999999</v>
      </c>
    </row>
    <row r="57" spans="1:17">
      <c r="A57" t="s">
        <v>2</v>
      </c>
      <c r="B57" t="s">
        <v>10</v>
      </c>
      <c r="C57" t="s">
        <v>11</v>
      </c>
      <c r="D57" t="s">
        <v>69</v>
      </c>
      <c r="E57" t="s">
        <v>73</v>
      </c>
      <c r="F57" t="s">
        <v>22</v>
      </c>
      <c r="G57">
        <v>3</v>
      </c>
      <c r="H57" t="s">
        <v>35</v>
      </c>
      <c r="I57" s="4" t="s">
        <v>194</v>
      </c>
      <c r="J57" s="4" t="s">
        <v>35</v>
      </c>
      <c r="K57" t="s">
        <v>60</v>
      </c>
      <c r="L57">
        <v>150</v>
      </c>
      <c r="M57">
        <v>350</v>
      </c>
      <c r="N57">
        <v>250</v>
      </c>
      <c r="O57">
        <v>300</v>
      </c>
      <c r="P57">
        <v>0.8</v>
      </c>
      <c r="Q57">
        <f t="shared" si="4"/>
        <v>2425.0819999999999</v>
      </c>
    </row>
    <row r="58" spans="1:17">
      <c r="A58" t="s">
        <v>2</v>
      </c>
      <c r="B58" t="s">
        <v>10</v>
      </c>
      <c r="C58" t="s">
        <v>11</v>
      </c>
      <c r="D58" t="s">
        <v>192</v>
      </c>
      <c r="E58" t="s">
        <v>74</v>
      </c>
      <c r="F58" t="s">
        <v>75</v>
      </c>
      <c r="G58">
        <v>3</v>
      </c>
      <c r="H58" t="s">
        <v>35</v>
      </c>
      <c r="I58" s="4" t="s">
        <v>194</v>
      </c>
      <c r="J58" s="4" t="s">
        <v>35</v>
      </c>
      <c r="K58" t="s">
        <v>60</v>
      </c>
      <c r="L58">
        <v>20</v>
      </c>
      <c r="M58">
        <v>350</v>
      </c>
      <c r="N58">
        <v>260</v>
      </c>
      <c r="O58">
        <v>325</v>
      </c>
      <c r="P58">
        <v>0.85</v>
      </c>
      <c r="Q58">
        <f t="shared" si="4"/>
        <v>2425.0819999999999</v>
      </c>
    </row>
    <row r="59" spans="1:17">
      <c r="A59" t="s">
        <v>2</v>
      </c>
      <c r="B59" t="s">
        <v>10</v>
      </c>
      <c r="C59" t="s">
        <v>11</v>
      </c>
      <c r="D59" t="s">
        <v>76</v>
      </c>
      <c r="E59" t="s">
        <v>74</v>
      </c>
      <c r="F59" t="s">
        <v>74</v>
      </c>
      <c r="G59">
        <v>3</v>
      </c>
      <c r="H59" t="s">
        <v>35</v>
      </c>
      <c r="I59" s="4" t="s">
        <v>194</v>
      </c>
      <c r="J59" s="4" t="s">
        <v>35</v>
      </c>
      <c r="K59" t="s">
        <v>60</v>
      </c>
      <c r="L59">
        <v>20</v>
      </c>
      <c r="M59">
        <v>350</v>
      </c>
      <c r="N59">
        <v>260</v>
      </c>
      <c r="O59">
        <v>325</v>
      </c>
      <c r="P59">
        <v>0.85</v>
      </c>
      <c r="Q59">
        <f t="shared" si="4"/>
        <v>2425.0819999999999</v>
      </c>
    </row>
    <row r="60" spans="1:17">
      <c r="A60" t="s">
        <v>2</v>
      </c>
      <c r="B60" t="s">
        <v>10</v>
      </c>
      <c r="C60" t="s">
        <v>11</v>
      </c>
      <c r="D60" t="s">
        <v>69</v>
      </c>
      <c r="E60" t="s">
        <v>74</v>
      </c>
      <c r="F60" t="s">
        <v>74</v>
      </c>
      <c r="G60">
        <v>3</v>
      </c>
      <c r="H60" t="s">
        <v>35</v>
      </c>
      <c r="I60" s="4" t="s">
        <v>194</v>
      </c>
      <c r="J60" s="4" t="s">
        <v>35</v>
      </c>
      <c r="K60" t="s">
        <v>60</v>
      </c>
      <c r="L60">
        <v>20</v>
      </c>
      <c r="M60">
        <v>350</v>
      </c>
      <c r="N60">
        <v>260</v>
      </c>
      <c r="O60">
        <v>325</v>
      </c>
      <c r="P60">
        <v>0.85</v>
      </c>
      <c r="Q60">
        <f t="shared" si="4"/>
        <v>2425.0819999999999</v>
      </c>
    </row>
    <row r="61" spans="1:17">
      <c r="A61" t="s">
        <v>2</v>
      </c>
      <c r="B61" t="s">
        <v>10</v>
      </c>
      <c r="C61" t="s">
        <v>11</v>
      </c>
      <c r="D61" t="s">
        <v>101</v>
      </c>
      <c r="E61" t="s">
        <v>74</v>
      </c>
      <c r="F61" t="s">
        <v>77</v>
      </c>
      <c r="G61">
        <v>3</v>
      </c>
      <c r="H61" t="s">
        <v>35</v>
      </c>
      <c r="I61" s="4" t="s">
        <v>194</v>
      </c>
      <c r="J61" s="4" t="s">
        <v>35</v>
      </c>
      <c r="K61" t="s">
        <v>60</v>
      </c>
      <c r="L61">
        <v>20</v>
      </c>
      <c r="M61">
        <v>350</v>
      </c>
      <c r="N61">
        <v>260</v>
      </c>
      <c r="O61">
        <v>325</v>
      </c>
      <c r="P61">
        <v>0.85</v>
      </c>
      <c r="Q61">
        <f t="shared" si="4"/>
        <v>2425.0819999999999</v>
      </c>
    </row>
    <row r="62" spans="1:17">
      <c r="A62" t="s">
        <v>2</v>
      </c>
      <c r="B62" t="s">
        <v>10</v>
      </c>
      <c r="C62" t="s">
        <v>11</v>
      </c>
      <c r="D62" t="s">
        <v>101</v>
      </c>
      <c r="E62" t="s">
        <v>21</v>
      </c>
      <c r="F62" t="s">
        <v>22</v>
      </c>
      <c r="G62">
        <v>3</v>
      </c>
      <c r="H62" t="s">
        <v>35</v>
      </c>
      <c r="I62" s="4" t="s">
        <v>194</v>
      </c>
      <c r="J62" s="4" t="s">
        <v>35</v>
      </c>
      <c r="K62" t="s">
        <v>60</v>
      </c>
      <c r="L62">
        <v>150</v>
      </c>
      <c r="M62">
        <v>350</v>
      </c>
      <c r="N62">
        <v>260</v>
      </c>
      <c r="O62">
        <v>300</v>
      </c>
      <c r="P62">
        <v>0.86</v>
      </c>
      <c r="Q62">
        <f>900*2.20462</f>
        <v>1984.1579999999999</v>
      </c>
    </row>
    <row r="63" spans="1:17">
      <c r="A63" t="s">
        <v>2</v>
      </c>
      <c r="B63" t="s">
        <v>10</v>
      </c>
      <c r="C63" t="s">
        <v>11</v>
      </c>
      <c r="D63" t="s">
        <v>192</v>
      </c>
      <c r="E63" t="s">
        <v>21</v>
      </c>
      <c r="F63" t="s">
        <v>22</v>
      </c>
      <c r="G63">
        <v>3</v>
      </c>
      <c r="H63" t="s">
        <v>35</v>
      </c>
      <c r="I63" s="4" t="s">
        <v>194</v>
      </c>
      <c r="J63" s="4" t="s">
        <v>35</v>
      </c>
      <c r="K63" t="s">
        <v>60</v>
      </c>
      <c r="L63">
        <v>150</v>
      </c>
      <c r="M63">
        <v>350</v>
      </c>
      <c r="N63">
        <v>260</v>
      </c>
      <c r="O63">
        <v>300</v>
      </c>
      <c r="P63">
        <v>0.86</v>
      </c>
      <c r="Q63">
        <f t="shared" ref="Q63:Q67" si="5">900*2.20462</f>
        <v>1984.1579999999999</v>
      </c>
    </row>
    <row r="64" spans="1:17">
      <c r="A64" t="s">
        <v>2</v>
      </c>
      <c r="B64" t="s">
        <v>10</v>
      </c>
      <c r="C64" t="s">
        <v>11</v>
      </c>
      <c r="D64" t="s">
        <v>52</v>
      </c>
      <c r="E64" t="s">
        <v>21</v>
      </c>
      <c r="F64" t="s">
        <v>22</v>
      </c>
      <c r="G64">
        <v>3</v>
      </c>
      <c r="H64" t="s">
        <v>35</v>
      </c>
      <c r="I64" s="4" t="s">
        <v>194</v>
      </c>
      <c r="J64" s="4" t="s">
        <v>35</v>
      </c>
      <c r="K64" t="s">
        <v>60</v>
      </c>
      <c r="L64">
        <v>150</v>
      </c>
      <c r="M64">
        <v>350</v>
      </c>
      <c r="N64">
        <v>260</v>
      </c>
      <c r="O64">
        <v>300</v>
      </c>
      <c r="P64">
        <v>0.86</v>
      </c>
      <c r="Q64">
        <f t="shared" si="5"/>
        <v>1984.1579999999999</v>
      </c>
    </row>
    <row r="65" spans="1:18">
      <c r="A65" t="s">
        <v>2</v>
      </c>
      <c r="B65" t="s">
        <v>10</v>
      </c>
      <c r="C65" t="s">
        <v>11</v>
      </c>
      <c r="D65" t="s">
        <v>1</v>
      </c>
      <c r="E65" t="s">
        <v>21</v>
      </c>
      <c r="F65" t="s">
        <v>22</v>
      </c>
      <c r="G65">
        <v>3</v>
      </c>
      <c r="H65" t="s">
        <v>35</v>
      </c>
      <c r="I65" s="4" t="s">
        <v>194</v>
      </c>
      <c r="J65" s="4" t="s">
        <v>35</v>
      </c>
      <c r="K65" t="s">
        <v>60</v>
      </c>
      <c r="L65">
        <v>150</v>
      </c>
      <c r="M65">
        <v>350</v>
      </c>
      <c r="N65">
        <v>260</v>
      </c>
      <c r="O65">
        <v>300</v>
      </c>
      <c r="P65">
        <v>0.86</v>
      </c>
      <c r="Q65">
        <f t="shared" si="5"/>
        <v>1984.1579999999999</v>
      </c>
    </row>
    <row r="66" spans="1:18">
      <c r="A66" t="s">
        <v>2</v>
      </c>
      <c r="B66" t="s">
        <v>10</v>
      </c>
      <c r="C66" t="s">
        <v>11</v>
      </c>
      <c r="D66" t="s">
        <v>37</v>
      </c>
      <c r="E66" t="s">
        <v>21</v>
      </c>
      <c r="F66" t="s">
        <v>22</v>
      </c>
      <c r="G66">
        <v>3</v>
      </c>
      <c r="H66" t="s">
        <v>35</v>
      </c>
      <c r="I66" s="4" t="s">
        <v>194</v>
      </c>
      <c r="J66" s="4" t="s">
        <v>35</v>
      </c>
      <c r="K66" t="s">
        <v>60</v>
      </c>
      <c r="L66">
        <v>150</v>
      </c>
      <c r="M66">
        <v>350</v>
      </c>
      <c r="N66">
        <v>260</v>
      </c>
      <c r="O66">
        <v>300</v>
      </c>
      <c r="P66">
        <v>0.86</v>
      </c>
      <c r="Q66">
        <f t="shared" si="5"/>
        <v>1984.1579999999999</v>
      </c>
    </row>
    <row r="67" spans="1:18">
      <c r="A67" t="s">
        <v>2</v>
      </c>
      <c r="B67" t="s">
        <v>10</v>
      </c>
      <c r="C67" t="s">
        <v>11</v>
      </c>
      <c r="D67" t="s">
        <v>1</v>
      </c>
      <c r="E67" t="s">
        <v>21</v>
      </c>
      <c r="F67" t="s">
        <v>41</v>
      </c>
      <c r="G67">
        <v>3</v>
      </c>
      <c r="H67" t="s">
        <v>35</v>
      </c>
      <c r="I67" s="4" t="s">
        <v>194</v>
      </c>
      <c r="J67" s="4" t="s">
        <v>35</v>
      </c>
      <c r="K67" t="s">
        <v>60</v>
      </c>
      <c r="L67">
        <v>150</v>
      </c>
      <c r="M67">
        <v>350</v>
      </c>
      <c r="N67">
        <v>260</v>
      </c>
      <c r="O67">
        <v>300</v>
      </c>
      <c r="P67">
        <v>0.86</v>
      </c>
      <c r="Q67">
        <f t="shared" si="5"/>
        <v>1984.1579999999999</v>
      </c>
    </row>
    <row r="68" spans="1:18">
      <c r="A68" t="s">
        <v>2</v>
      </c>
      <c r="B68" t="s">
        <v>10</v>
      </c>
      <c r="C68" t="s">
        <v>11</v>
      </c>
      <c r="D68" t="s">
        <v>78</v>
      </c>
      <c r="E68" t="s">
        <v>79</v>
      </c>
      <c r="F68" t="s">
        <v>41</v>
      </c>
      <c r="G68">
        <v>3</v>
      </c>
      <c r="H68" t="s">
        <v>35</v>
      </c>
      <c r="I68" s="4" t="s">
        <v>194</v>
      </c>
      <c r="J68" s="4" t="s">
        <v>35</v>
      </c>
      <c r="K68" t="s">
        <v>60</v>
      </c>
      <c r="L68">
        <v>50</v>
      </c>
      <c r="M68">
        <v>330</v>
      </c>
      <c r="N68">
        <v>260</v>
      </c>
      <c r="O68">
        <v>325</v>
      </c>
      <c r="P68">
        <v>0.86</v>
      </c>
      <c r="Q68">
        <f>890*2.20462</f>
        <v>1962.1117999999999</v>
      </c>
    </row>
    <row r="69" spans="1:18">
      <c r="A69" t="s">
        <v>2</v>
      </c>
      <c r="B69" t="s">
        <v>10</v>
      </c>
      <c r="C69" t="s">
        <v>11</v>
      </c>
      <c r="D69" t="s">
        <v>55</v>
      </c>
      <c r="E69" t="s">
        <v>79</v>
      </c>
      <c r="F69" t="s">
        <v>41</v>
      </c>
      <c r="G69">
        <v>3</v>
      </c>
      <c r="H69" t="s">
        <v>35</v>
      </c>
      <c r="I69" s="4" t="s">
        <v>194</v>
      </c>
      <c r="J69" s="4" t="s">
        <v>35</v>
      </c>
      <c r="K69" t="s">
        <v>60</v>
      </c>
      <c r="L69">
        <v>50</v>
      </c>
      <c r="M69">
        <v>330</v>
      </c>
      <c r="N69">
        <v>260</v>
      </c>
      <c r="O69">
        <v>325</v>
      </c>
      <c r="P69">
        <v>0.86</v>
      </c>
      <c r="Q69">
        <f t="shared" ref="Q69:Q71" si="6">890*2.20462</f>
        <v>1962.1117999999999</v>
      </c>
    </row>
    <row r="70" spans="1:18">
      <c r="A70" t="s">
        <v>2</v>
      </c>
      <c r="B70" t="s">
        <v>10</v>
      </c>
      <c r="C70" t="s">
        <v>11</v>
      </c>
      <c r="D70" t="s">
        <v>78</v>
      </c>
      <c r="E70" t="s">
        <v>79</v>
      </c>
      <c r="F70" t="s">
        <v>23</v>
      </c>
      <c r="G70">
        <v>3</v>
      </c>
      <c r="H70" t="s">
        <v>35</v>
      </c>
      <c r="I70" s="4" t="s">
        <v>194</v>
      </c>
      <c r="J70" s="4" t="s">
        <v>35</v>
      </c>
      <c r="K70" t="s">
        <v>60</v>
      </c>
      <c r="L70">
        <v>50</v>
      </c>
      <c r="M70">
        <v>330</v>
      </c>
      <c r="N70">
        <v>260</v>
      </c>
      <c r="O70">
        <v>325</v>
      </c>
      <c r="P70">
        <v>0.86</v>
      </c>
      <c r="Q70">
        <f t="shared" si="6"/>
        <v>1962.1117999999999</v>
      </c>
    </row>
    <row r="71" spans="1:18">
      <c r="A71" t="s">
        <v>2</v>
      </c>
      <c r="B71" t="s">
        <v>10</v>
      </c>
      <c r="C71" t="s">
        <v>11</v>
      </c>
      <c r="D71" t="s">
        <v>55</v>
      </c>
      <c r="E71" t="s">
        <v>79</v>
      </c>
      <c r="F71" t="s">
        <v>23</v>
      </c>
      <c r="G71">
        <v>3</v>
      </c>
      <c r="H71" t="s">
        <v>35</v>
      </c>
      <c r="I71" s="4" t="s">
        <v>194</v>
      </c>
      <c r="J71" s="4" t="s">
        <v>35</v>
      </c>
      <c r="K71" t="s">
        <v>60</v>
      </c>
      <c r="L71">
        <v>50</v>
      </c>
      <c r="M71">
        <v>330</v>
      </c>
      <c r="N71">
        <v>260</v>
      </c>
      <c r="O71">
        <v>325</v>
      </c>
      <c r="P71">
        <v>0.86</v>
      </c>
      <c r="Q71">
        <f t="shared" si="6"/>
        <v>1962.1117999999999</v>
      </c>
    </row>
    <row r="72" spans="1:18">
      <c r="A72" t="s">
        <v>2</v>
      </c>
      <c r="B72" t="s">
        <v>10</v>
      </c>
      <c r="C72" t="s">
        <v>11</v>
      </c>
      <c r="D72" t="s">
        <v>80</v>
      </c>
      <c r="E72" t="s">
        <v>81</v>
      </c>
      <c r="F72" t="s">
        <v>22</v>
      </c>
      <c r="G72">
        <v>3</v>
      </c>
      <c r="H72" t="s">
        <v>35</v>
      </c>
      <c r="I72" s="4" t="s">
        <v>194</v>
      </c>
      <c r="J72" s="4" t="s">
        <v>35</v>
      </c>
      <c r="K72" t="s">
        <v>60</v>
      </c>
      <c r="L72">
        <v>100</v>
      </c>
      <c r="M72">
        <v>350</v>
      </c>
      <c r="N72">
        <v>180</v>
      </c>
      <c r="O72">
        <v>325</v>
      </c>
      <c r="P72">
        <v>0.86</v>
      </c>
      <c r="Q72">
        <f>1100*2.20462</f>
        <v>2425.0819999999999</v>
      </c>
    </row>
    <row r="73" spans="1:18">
      <c r="A73" t="s">
        <v>2</v>
      </c>
      <c r="B73" t="s">
        <v>10</v>
      </c>
      <c r="C73" t="s">
        <v>11</v>
      </c>
      <c r="D73" t="s">
        <v>80</v>
      </c>
      <c r="E73" t="s">
        <v>81</v>
      </c>
      <c r="F73" t="s">
        <v>41</v>
      </c>
      <c r="G73">
        <v>3</v>
      </c>
      <c r="H73" t="s">
        <v>35</v>
      </c>
      <c r="I73" s="4" t="s">
        <v>194</v>
      </c>
      <c r="J73" s="4" t="s">
        <v>35</v>
      </c>
      <c r="K73" t="s">
        <v>60</v>
      </c>
      <c r="L73">
        <v>100</v>
      </c>
      <c r="M73">
        <v>350</v>
      </c>
      <c r="N73">
        <v>180</v>
      </c>
      <c r="O73">
        <v>325</v>
      </c>
      <c r="P73">
        <v>0.86</v>
      </c>
      <c r="Q73">
        <f t="shared" ref="Q73:Q76" si="7">1100*2.20462</f>
        <v>2425.0819999999999</v>
      </c>
    </row>
    <row r="74" spans="1:18">
      <c r="A74" t="s">
        <v>2</v>
      </c>
      <c r="B74" t="s">
        <v>10</v>
      </c>
      <c r="C74" t="s">
        <v>11</v>
      </c>
      <c r="D74" t="s">
        <v>80</v>
      </c>
      <c r="E74" t="s">
        <v>81</v>
      </c>
      <c r="F74" t="s">
        <v>82</v>
      </c>
      <c r="G74">
        <v>3</v>
      </c>
      <c r="H74" t="s">
        <v>35</v>
      </c>
      <c r="I74" s="4" t="s">
        <v>194</v>
      </c>
      <c r="J74" s="4" t="s">
        <v>35</v>
      </c>
      <c r="K74" t="s">
        <v>60</v>
      </c>
      <c r="L74">
        <v>100</v>
      </c>
      <c r="M74">
        <v>350</v>
      </c>
      <c r="N74">
        <v>180</v>
      </c>
      <c r="O74">
        <v>325</v>
      </c>
      <c r="P74">
        <v>0.86</v>
      </c>
      <c r="Q74">
        <f t="shared" si="7"/>
        <v>2425.0819999999999</v>
      </c>
    </row>
    <row r="75" spans="1:18">
      <c r="A75" t="s">
        <v>2</v>
      </c>
      <c r="B75" t="s">
        <v>10</v>
      </c>
      <c r="C75" t="s">
        <v>11</v>
      </c>
      <c r="D75" t="s">
        <v>176</v>
      </c>
      <c r="E75" t="s">
        <v>81</v>
      </c>
      <c r="F75" t="s">
        <v>83</v>
      </c>
      <c r="G75">
        <v>3</v>
      </c>
      <c r="H75" t="s">
        <v>35</v>
      </c>
      <c r="I75" s="4" t="s">
        <v>194</v>
      </c>
      <c r="J75" s="4" t="s">
        <v>35</v>
      </c>
      <c r="K75" t="s">
        <v>60</v>
      </c>
      <c r="L75">
        <v>100</v>
      </c>
      <c r="M75">
        <v>350</v>
      </c>
      <c r="N75">
        <v>180</v>
      </c>
      <c r="O75">
        <v>325</v>
      </c>
      <c r="P75">
        <v>0.86</v>
      </c>
      <c r="Q75">
        <f t="shared" si="7"/>
        <v>2425.0819999999999</v>
      </c>
    </row>
    <row r="76" spans="1:18">
      <c r="A76" t="s">
        <v>2</v>
      </c>
      <c r="B76" t="s">
        <v>10</v>
      </c>
      <c r="C76" t="s">
        <v>11</v>
      </c>
      <c r="D76" t="s">
        <v>176</v>
      </c>
      <c r="E76" t="s">
        <v>81</v>
      </c>
      <c r="F76" t="s">
        <v>84</v>
      </c>
      <c r="G76">
        <v>3</v>
      </c>
      <c r="H76" t="s">
        <v>35</v>
      </c>
      <c r="I76" s="4" t="s">
        <v>194</v>
      </c>
      <c r="J76" s="4" t="s">
        <v>35</v>
      </c>
      <c r="K76" t="s">
        <v>60</v>
      </c>
      <c r="L76">
        <v>100</v>
      </c>
      <c r="M76">
        <v>350</v>
      </c>
      <c r="N76">
        <v>180</v>
      </c>
      <c r="O76">
        <v>325</v>
      </c>
      <c r="P76">
        <v>0.86</v>
      </c>
      <c r="Q76">
        <f t="shared" si="7"/>
        <v>2425.0819999999999</v>
      </c>
    </row>
    <row r="77" spans="1:18">
      <c r="A77" t="s">
        <v>2</v>
      </c>
      <c r="B77" t="s">
        <v>10</v>
      </c>
      <c r="C77" t="s">
        <v>11</v>
      </c>
      <c r="D77" t="s">
        <v>67</v>
      </c>
      <c r="E77" t="s">
        <v>85</v>
      </c>
      <c r="F77" t="s">
        <v>86</v>
      </c>
      <c r="G77">
        <v>2</v>
      </c>
      <c r="H77" t="s">
        <v>35</v>
      </c>
      <c r="I77" s="4" t="s">
        <v>194</v>
      </c>
      <c r="J77" s="4" t="s">
        <v>35</v>
      </c>
      <c r="K77" t="s">
        <v>60</v>
      </c>
      <c r="L77">
        <v>100</v>
      </c>
      <c r="M77">
        <v>320</v>
      </c>
      <c r="N77">
        <v>250</v>
      </c>
      <c r="O77">
        <v>300</v>
      </c>
      <c r="P77">
        <v>0.86</v>
      </c>
      <c r="Q77">
        <f>900*2.20462</f>
        <v>1984.1579999999999</v>
      </c>
    </row>
    <row r="78" spans="1:18">
      <c r="A78" t="s">
        <v>2</v>
      </c>
      <c r="B78" t="s">
        <v>10</v>
      </c>
      <c r="C78" t="s">
        <v>11</v>
      </c>
      <c r="D78" t="s">
        <v>176</v>
      </c>
      <c r="E78" t="s">
        <v>85</v>
      </c>
      <c r="F78" t="s">
        <v>87</v>
      </c>
      <c r="G78">
        <v>2</v>
      </c>
      <c r="H78" t="s">
        <v>35</v>
      </c>
      <c r="I78" s="4" t="s">
        <v>194</v>
      </c>
      <c r="J78" s="4" t="s">
        <v>35</v>
      </c>
      <c r="K78" t="s">
        <v>60</v>
      </c>
      <c r="L78">
        <v>100</v>
      </c>
      <c r="M78">
        <v>320</v>
      </c>
      <c r="N78">
        <v>250</v>
      </c>
      <c r="O78">
        <v>300</v>
      </c>
      <c r="P78">
        <v>0.86</v>
      </c>
      <c r="Q78">
        <f>900*2.20462</f>
        <v>1984.1579999999999</v>
      </c>
    </row>
    <row r="79" spans="1:18">
      <c r="A79" t="s">
        <v>63</v>
      </c>
      <c r="B79" t="s">
        <v>64</v>
      </c>
      <c r="C79" t="s">
        <v>22</v>
      </c>
      <c r="D79" t="s">
        <v>2</v>
      </c>
      <c r="E79" t="s">
        <v>19</v>
      </c>
      <c r="F79" t="s">
        <v>39</v>
      </c>
      <c r="G79" t="s">
        <v>35</v>
      </c>
      <c r="H79">
        <v>0</v>
      </c>
      <c r="I79" s="4" t="s">
        <v>35</v>
      </c>
      <c r="J79" s="4" t="s">
        <v>194</v>
      </c>
      <c r="K79" t="s">
        <v>22</v>
      </c>
      <c r="L79">
        <v>200</v>
      </c>
      <c r="M79">
        <v>320</v>
      </c>
      <c r="N79">
        <v>250</v>
      </c>
      <c r="O79">
        <v>290</v>
      </c>
      <c r="P79">
        <v>0.72</v>
      </c>
    </row>
    <row r="80" spans="1:18">
      <c r="A80" t="s">
        <v>67</v>
      </c>
      <c r="B80" t="s">
        <v>88</v>
      </c>
      <c r="C80" t="s">
        <v>82</v>
      </c>
      <c r="D80" t="s">
        <v>2</v>
      </c>
      <c r="E80" t="s">
        <v>32</v>
      </c>
      <c r="F80" t="s">
        <v>71</v>
      </c>
      <c r="G80" t="s">
        <v>35</v>
      </c>
      <c r="H80">
        <v>1</v>
      </c>
      <c r="I80" s="4" t="s">
        <v>35</v>
      </c>
      <c r="J80" s="4" t="s">
        <v>194</v>
      </c>
      <c r="K80" t="s">
        <v>60</v>
      </c>
      <c r="L80">
        <v>150</v>
      </c>
      <c r="M80">
        <v>250</v>
      </c>
      <c r="N80">
        <v>230</v>
      </c>
      <c r="O80">
        <v>270</v>
      </c>
      <c r="R80" t="s">
        <v>89</v>
      </c>
    </row>
    <row r="81" spans="1:18">
      <c r="A81" t="s">
        <v>67</v>
      </c>
      <c r="B81" t="s">
        <v>88</v>
      </c>
      <c r="C81" t="s">
        <v>82</v>
      </c>
      <c r="D81" t="s">
        <v>2</v>
      </c>
      <c r="E81" t="s">
        <v>20</v>
      </c>
      <c r="F81" t="s">
        <v>40</v>
      </c>
      <c r="G81" t="s">
        <v>35</v>
      </c>
      <c r="H81">
        <v>1</v>
      </c>
      <c r="I81" s="4" t="s">
        <v>35</v>
      </c>
      <c r="J81" s="4" t="s">
        <v>194</v>
      </c>
      <c r="K81" t="s">
        <v>60</v>
      </c>
      <c r="L81">
        <v>150</v>
      </c>
      <c r="M81">
        <v>250</v>
      </c>
      <c r="N81">
        <v>230</v>
      </c>
      <c r="O81">
        <v>270</v>
      </c>
      <c r="R81" t="s">
        <v>89</v>
      </c>
    </row>
    <row r="82" spans="1:18">
      <c r="A82" t="s">
        <v>54</v>
      </c>
      <c r="B82" t="s">
        <v>10</v>
      </c>
      <c r="C82" t="s">
        <v>10</v>
      </c>
      <c r="D82" t="s">
        <v>2</v>
      </c>
      <c r="E82" t="s">
        <v>0</v>
      </c>
      <c r="F82" t="s">
        <v>39</v>
      </c>
      <c r="G82" t="s">
        <v>35</v>
      </c>
      <c r="H82">
        <v>3</v>
      </c>
      <c r="I82" s="4" t="s">
        <v>35</v>
      </c>
      <c r="J82" s="4" t="s">
        <v>194</v>
      </c>
      <c r="K82" t="s">
        <v>22</v>
      </c>
      <c r="L82">
        <v>150</v>
      </c>
      <c r="M82">
        <v>280</v>
      </c>
      <c r="N82">
        <v>265</v>
      </c>
      <c r="O82">
        <v>285</v>
      </c>
      <c r="P82">
        <v>0.8</v>
      </c>
    </row>
    <row r="83" spans="1:18">
      <c r="A83" t="s">
        <v>80</v>
      </c>
      <c r="B83" t="s">
        <v>10</v>
      </c>
      <c r="C83" t="s">
        <v>91</v>
      </c>
      <c r="D83" t="s">
        <v>2</v>
      </c>
      <c r="E83" t="s">
        <v>0</v>
      </c>
      <c r="F83" t="s">
        <v>39</v>
      </c>
      <c r="G83" t="s">
        <v>35</v>
      </c>
      <c r="H83">
        <v>3</v>
      </c>
      <c r="I83" s="4" t="s">
        <v>35</v>
      </c>
      <c r="J83" s="4" t="s">
        <v>194</v>
      </c>
      <c r="K83" t="s">
        <v>22</v>
      </c>
      <c r="L83">
        <v>150</v>
      </c>
      <c r="M83">
        <v>280</v>
      </c>
      <c r="N83">
        <v>265</v>
      </c>
      <c r="O83">
        <v>285</v>
      </c>
      <c r="P83">
        <v>0.8</v>
      </c>
    </row>
    <row r="84" spans="1:18">
      <c r="A84" t="s">
        <v>52</v>
      </c>
      <c r="B84" t="s">
        <v>10</v>
      </c>
      <c r="C84" t="s">
        <v>92</v>
      </c>
      <c r="D84" t="s">
        <v>2</v>
      </c>
      <c r="E84" t="s">
        <v>0</v>
      </c>
      <c r="F84" t="s">
        <v>39</v>
      </c>
      <c r="G84" t="s">
        <v>35</v>
      </c>
      <c r="H84">
        <v>3</v>
      </c>
      <c r="I84" s="4" t="s">
        <v>35</v>
      </c>
      <c r="J84" s="4" t="s">
        <v>194</v>
      </c>
      <c r="K84" t="s">
        <v>22</v>
      </c>
      <c r="L84">
        <v>150</v>
      </c>
      <c r="M84">
        <v>280</v>
      </c>
      <c r="N84">
        <v>265</v>
      </c>
      <c r="O84">
        <v>285</v>
      </c>
      <c r="P84">
        <v>0.8</v>
      </c>
    </row>
    <row r="85" spans="1:18">
      <c r="A85" t="s">
        <v>90</v>
      </c>
      <c r="B85" t="s">
        <v>10</v>
      </c>
      <c r="C85" t="s">
        <v>93</v>
      </c>
      <c r="D85" t="s">
        <v>2</v>
      </c>
      <c r="E85" t="s">
        <v>0</v>
      </c>
      <c r="F85" t="s">
        <v>39</v>
      </c>
      <c r="G85">
        <v>2</v>
      </c>
      <c r="H85">
        <v>3</v>
      </c>
      <c r="I85" s="4" t="s">
        <v>193</v>
      </c>
      <c r="J85" s="4" t="s">
        <v>194</v>
      </c>
      <c r="K85" t="s">
        <v>22</v>
      </c>
      <c r="L85">
        <v>150</v>
      </c>
      <c r="M85">
        <v>280</v>
      </c>
      <c r="N85">
        <v>265</v>
      </c>
      <c r="O85">
        <v>285</v>
      </c>
      <c r="P85">
        <v>0.8</v>
      </c>
      <c r="Q85">
        <v>7500</v>
      </c>
    </row>
    <row r="86" spans="1:18">
      <c r="A86" t="s">
        <v>1</v>
      </c>
      <c r="B86" t="s">
        <v>95</v>
      </c>
      <c r="C86" t="s">
        <v>96</v>
      </c>
      <c r="D86" t="s">
        <v>2</v>
      </c>
      <c r="E86" t="s">
        <v>0</v>
      </c>
      <c r="F86" t="s">
        <v>39</v>
      </c>
      <c r="G86" t="s">
        <v>35</v>
      </c>
      <c r="H86">
        <v>3</v>
      </c>
      <c r="I86" s="4" t="s">
        <v>35</v>
      </c>
      <c r="J86" s="4" t="s">
        <v>194</v>
      </c>
      <c r="K86" t="s">
        <v>22</v>
      </c>
      <c r="L86">
        <v>120</v>
      </c>
      <c r="M86">
        <v>310</v>
      </c>
      <c r="N86">
        <v>260</v>
      </c>
      <c r="O86">
        <v>270</v>
      </c>
    </row>
    <row r="87" spans="1:18">
      <c r="A87" t="s">
        <v>94</v>
      </c>
      <c r="B87" t="s">
        <v>97</v>
      </c>
      <c r="C87" t="s">
        <v>96</v>
      </c>
      <c r="D87" t="s">
        <v>2</v>
      </c>
      <c r="E87" t="s">
        <v>0</v>
      </c>
      <c r="F87" t="s">
        <v>39</v>
      </c>
      <c r="G87" t="s">
        <v>35</v>
      </c>
      <c r="H87">
        <v>3</v>
      </c>
      <c r="I87" s="4" t="s">
        <v>35</v>
      </c>
      <c r="J87" s="4" t="s">
        <v>194</v>
      </c>
      <c r="K87" t="s">
        <v>22</v>
      </c>
      <c r="L87">
        <v>120</v>
      </c>
      <c r="M87">
        <v>310</v>
      </c>
      <c r="N87">
        <v>260</v>
      </c>
      <c r="O87">
        <v>270</v>
      </c>
    </row>
    <row r="88" spans="1:18">
      <c r="A88" t="s">
        <v>1</v>
      </c>
      <c r="B88" t="s">
        <v>95</v>
      </c>
      <c r="C88" t="s">
        <v>98</v>
      </c>
      <c r="D88" t="s">
        <v>2</v>
      </c>
      <c r="E88" t="s">
        <v>0</v>
      </c>
      <c r="F88" t="s">
        <v>39</v>
      </c>
      <c r="G88" t="s">
        <v>35</v>
      </c>
      <c r="H88">
        <v>3</v>
      </c>
      <c r="I88" s="4" t="s">
        <v>35</v>
      </c>
      <c r="J88" s="4" t="s">
        <v>194</v>
      </c>
      <c r="K88" t="s">
        <v>22</v>
      </c>
      <c r="L88">
        <v>120</v>
      </c>
      <c r="M88">
        <v>310</v>
      </c>
      <c r="N88">
        <v>260</v>
      </c>
      <c r="O88">
        <v>270</v>
      </c>
    </row>
    <row r="89" spans="1:18">
      <c r="A89" t="s">
        <v>1</v>
      </c>
      <c r="B89" t="s">
        <v>99</v>
      </c>
      <c r="C89" t="s">
        <v>39</v>
      </c>
      <c r="D89" t="s">
        <v>2</v>
      </c>
      <c r="E89" t="s">
        <v>0</v>
      </c>
      <c r="F89" t="s">
        <v>39</v>
      </c>
      <c r="G89" t="s">
        <v>35</v>
      </c>
      <c r="H89">
        <v>1</v>
      </c>
      <c r="I89" s="4" t="s">
        <v>35</v>
      </c>
      <c r="J89" s="4" t="s">
        <v>194</v>
      </c>
      <c r="K89" t="s">
        <v>22</v>
      </c>
      <c r="L89">
        <v>200</v>
      </c>
      <c r="M89">
        <v>310</v>
      </c>
      <c r="N89">
        <v>250</v>
      </c>
      <c r="O89">
        <v>290</v>
      </c>
    </row>
    <row r="90" spans="1:18">
      <c r="A90" t="s">
        <v>54</v>
      </c>
      <c r="B90" t="s">
        <v>10</v>
      </c>
      <c r="C90" t="s">
        <v>10</v>
      </c>
      <c r="D90" t="s">
        <v>2</v>
      </c>
      <c r="E90" t="s">
        <v>19</v>
      </c>
      <c r="F90" t="s">
        <v>39</v>
      </c>
      <c r="G90" t="s">
        <v>35</v>
      </c>
      <c r="H90">
        <v>3</v>
      </c>
      <c r="I90" s="4" t="s">
        <v>35</v>
      </c>
      <c r="J90" s="4" t="s">
        <v>194</v>
      </c>
      <c r="K90" t="s">
        <v>22</v>
      </c>
      <c r="L90">
        <v>200</v>
      </c>
      <c r="M90">
        <v>300</v>
      </c>
      <c r="N90">
        <v>250</v>
      </c>
      <c r="O90">
        <v>290</v>
      </c>
      <c r="P90">
        <v>0.72</v>
      </c>
    </row>
    <row r="91" spans="1:18">
      <c r="A91" t="s">
        <v>80</v>
      </c>
      <c r="B91" t="s">
        <v>10</v>
      </c>
      <c r="C91" t="s">
        <v>91</v>
      </c>
      <c r="D91" t="s">
        <v>2</v>
      </c>
      <c r="E91" t="s">
        <v>19</v>
      </c>
      <c r="F91" t="s">
        <v>39</v>
      </c>
      <c r="G91" t="s">
        <v>35</v>
      </c>
      <c r="H91">
        <v>3</v>
      </c>
      <c r="I91" s="4" t="s">
        <v>35</v>
      </c>
      <c r="J91" s="4" t="s">
        <v>194</v>
      </c>
      <c r="K91" t="s">
        <v>22</v>
      </c>
      <c r="L91">
        <v>200</v>
      </c>
      <c r="M91">
        <v>300</v>
      </c>
      <c r="N91">
        <v>250</v>
      </c>
      <c r="O91">
        <v>290</v>
      </c>
      <c r="P91">
        <v>0.72</v>
      </c>
    </row>
    <row r="92" spans="1:18">
      <c r="A92" t="s">
        <v>52</v>
      </c>
      <c r="B92" t="s">
        <v>10</v>
      </c>
      <c r="C92" t="s">
        <v>92</v>
      </c>
      <c r="D92" t="s">
        <v>2</v>
      </c>
      <c r="E92" t="s">
        <v>19</v>
      </c>
      <c r="F92" t="s">
        <v>39</v>
      </c>
      <c r="G92" t="s">
        <v>35</v>
      </c>
      <c r="H92">
        <v>3</v>
      </c>
      <c r="I92" s="4" t="s">
        <v>35</v>
      </c>
      <c r="J92" s="4" t="s">
        <v>194</v>
      </c>
      <c r="K92" t="s">
        <v>22</v>
      </c>
      <c r="L92">
        <v>200</v>
      </c>
      <c r="M92">
        <v>300</v>
      </c>
      <c r="N92">
        <v>250</v>
      </c>
      <c r="O92">
        <v>290</v>
      </c>
      <c r="P92">
        <v>0.72</v>
      </c>
    </row>
    <row r="93" spans="1:18">
      <c r="A93" t="s">
        <v>90</v>
      </c>
      <c r="B93" t="s">
        <v>10</v>
      </c>
      <c r="C93" t="s">
        <v>93</v>
      </c>
      <c r="D93" t="s">
        <v>2</v>
      </c>
      <c r="E93" t="s">
        <v>19</v>
      </c>
      <c r="F93" t="s">
        <v>39</v>
      </c>
      <c r="G93">
        <v>2</v>
      </c>
      <c r="H93">
        <v>3</v>
      </c>
      <c r="I93" s="4" t="s">
        <v>193</v>
      </c>
      <c r="J93" s="4" t="s">
        <v>194</v>
      </c>
      <c r="K93" t="s">
        <v>22</v>
      </c>
      <c r="L93">
        <v>200</v>
      </c>
      <c r="M93">
        <v>300</v>
      </c>
      <c r="N93">
        <v>250</v>
      </c>
      <c r="O93">
        <v>290</v>
      </c>
      <c r="P93">
        <v>0.72</v>
      </c>
      <c r="Q93">
        <v>4200</v>
      </c>
    </row>
    <row r="94" spans="1:18">
      <c r="A94" t="s">
        <v>1</v>
      </c>
      <c r="B94" t="s">
        <v>95</v>
      </c>
      <c r="C94" t="s">
        <v>96</v>
      </c>
      <c r="D94" t="s">
        <v>2</v>
      </c>
      <c r="E94" t="s">
        <v>19</v>
      </c>
      <c r="F94" t="s">
        <v>39</v>
      </c>
      <c r="G94">
        <v>3</v>
      </c>
      <c r="H94">
        <v>3</v>
      </c>
      <c r="I94" s="4" t="s">
        <v>135</v>
      </c>
      <c r="J94" s="4" t="s">
        <v>194</v>
      </c>
      <c r="K94" t="s">
        <v>22</v>
      </c>
      <c r="L94">
        <v>200</v>
      </c>
      <c r="M94">
        <v>300</v>
      </c>
      <c r="N94">
        <v>250</v>
      </c>
      <c r="O94">
        <v>290</v>
      </c>
      <c r="P94">
        <v>0.72</v>
      </c>
      <c r="Q94">
        <v>3000</v>
      </c>
    </row>
    <row r="95" spans="1:18">
      <c r="A95" t="s">
        <v>94</v>
      </c>
      <c r="B95" t="s">
        <v>97</v>
      </c>
      <c r="C95" t="s">
        <v>96</v>
      </c>
      <c r="D95" t="s">
        <v>2</v>
      </c>
      <c r="E95" t="s">
        <v>19</v>
      </c>
      <c r="F95" t="s">
        <v>39</v>
      </c>
      <c r="G95">
        <v>3</v>
      </c>
      <c r="H95">
        <v>3</v>
      </c>
      <c r="I95" s="4" t="s">
        <v>35</v>
      </c>
      <c r="J95" s="4" t="s">
        <v>194</v>
      </c>
      <c r="K95" t="s">
        <v>22</v>
      </c>
      <c r="L95">
        <v>200</v>
      </c>
      <c r="M95">
        <v>300</v>
      </c>
      <c r="N95">
        <v>250</v>
      </c>
      <c r="O95">
        <v>290</v>
      </c>
      <c r="P95">
        <v>0.72</v>
      </c>
      <c r="Q95">
        <v>3000</v>
      </c>
    </row>
    <row r="96" spans="1:18">
      <c r="A96" t="s">
        <v>1</v>
      </c>
      <c r="B96" t="s">
        <v>95</v>
      </c>
      <c r="C96" t="s">
        <v>98</v>
      </c>
      <c r="D96" t="s">
        <v>2</v>
      </c>
      <c r="E96" t="s">
        <v>19</v>
      </c>
      <c r="F96" t="s">
        <v>39</v>
      </c>
      <c r="G96">
        <v>3</v>
      </c>
      <c r="H96">
        <v>3</v>
      </c>
      <c r="I96" s="4" t="s">
        <v>135</v>
      </c>
      <c r="J96" s="4" t="s">
        <v>194</v>
      </c>
      <c r="K96" t="s">
        <v>22</v>
      </c>
      <c r="L96">
        <v>200</v>
      </c>
      <c r="M96">
        <v>300</v>
      </c>
      <c r="N96">
        <v>250</v>
      </c>
      <c r="O96">
        <v>290</v>
      </c>
      <c r="P96">
        <v>0.72</v>
      </c>
      <c r="Q96">
        <v>3000</v>
      </c>
    </row>
    <row r="97" spans="1:18">
      <c r="A97" t="s">
        <v>66</v>
      </c>
      <c r="B97" t="s">
        <v>100</v>
      </c>
      <c r="C97" t="s">
        <v>98</v>
      </c>
      <c r="D97" t="s">
        <v>2</v>
      </c>
      <c r="E97" t="s">
        <v>32</v>
      </c>
      <c r="F97" t="s">
        <v>71</v>
      </c>
      <c r="G97" t="s">
        <v>35</v>
      </c>
      <c r="H97">
        <v>3</v>
      </c>
      <c r="I97" s="4" t="s">
        <v>35</v>
      </c>
      <c r="J97" s="4" t="s">
        <v>194</v>
      </c>
      <c r="K97" t="s">
        <v>60</v>
      </c>
      <c r="L97">
        <v>100</v>
      </c>
      <c r="M97">
        <v>250</v>
      </c>
      <c r="N97">
        <v>230</v>
      </c>
      <c r="O97">
        <v>270</v>
      </c>
    </row>
    <row r="98" spans="1:18">
      <c r="A98" t="s">
        <v>66</v>
      </c>
      <c r="B98" t="s">
        <v>100</v>
      </c>
      <c r="C98" t="s">
        <v>98</v>
      </c>
      <c r="D98" t="s">
        <v>2</v>
      </c>
      <c r="E98" t="s">
        <v>20</v>
      </c>
      <c r="F98" t="s">
        <v>40</v>
      </c>
      <c r="G98" t="s">
        <v>35</v>
      </c>
      <c r="H98">
        <v>3</v>
      </c>
      <c r="I98" s="4" t="s">
        <v>35</v>
      </c>
      <c r="J98" s="4" t="s">
        <v>194</v>
      </c>
      <c r="K98" t="s">
        <v>60</v>
      </c>
      <c r="L98">
        <v>100</v>
      </c>
      <c r="M98">
        <v>250</v>
      </c>
      <c r="N98">
        <v>230</v>
      </c>
      <c r="O98">
        <v>270</v>
      </c>
    </row>
    <row r="99" spans="1:18">
      <c r="A99" t="s">
        <v>63</v>
      </c>
      <c r="B99" t="s">
        <v>62</v>
      </c>
      <c r="C99" t="s">
        <v>39</v>
      </c>
      <c r="D99" t="s">
        <v>2</v>
      </c>
      <c r="E99" t="s">
        <v>32</v>
      </c>
      <c r="F99" t="s">
        <v>71</v>
      </c>
      <c r="G99" t="s">
        <v>35</v>
      </c>
      <c r="H99">
        <v>3</v>
      </c>
      <c r="I99" s="4" t="s">
        <v>35</v>
      </c>
      <c r="J99" s="4" t="s">
        <v>194</v>
      </c>
      <c r="K99" t="s">
        <v>60</v>
      </c>
      <c r="L99">
        <v>50</v>
      </c>
      <c r="M99">
        <v>330</v>
      </c>
      <c r="N99">
        <v>200</v>
      </c>
      <c r="O99">
        <v>300</v>
      </c>
    </row>
    <row r="100" spans="1:18">
      <c r="A100" t="s">
        <v>63</v>
      </c>
      <c r="B100" t="s">
        <v>62</v>
      </c>
      <c r="C100" t="s">
        <v>39</v>
      </c>
      <c r="D100" t="s">
        <v>2</v>
      </c>
      <c r="E100" t="s">
        <v>20</v>
      </c>
      <c r="F100" t="s">
        <v>40</v>
      </c>
      <c r="G100" t="s">
        <v>35</v>
      </c>
      <c r="H100">
        <v>3</v>
      </c>
      <c r="I100" s="4" t="s">
        <v>35</v>
      </c>
      <c r="J100" s="4" t="s">
        <v>194</v>
      </c>
      <c r="K100" t="s">
        <v>60</v>
      </c>
      <c r="L100">
        <v>50</v>
      </c>
      <c r="M100">
        <v>330</v>
      </c>
      <c r="N100">
        <v>200</v>
      </c>
      <c r="O100">
        <v>300</v>
      </c>
    </row>
    <row r="101" spans="1:18">
      <c r="A101" t="s">
        <v>1</v>
      </c>
      <c r="B101" t="s">
        <v>102</v>
      </c>
      <c r="C101" t="s">
        <v>42</v>
      </c>
      <c r="D101" t="s">
        <v>2</v>
      </c>
      <c r="E101" t="s">
        <v>32</v>
      </c>
      <c r="F101" t="s">
        <v>71</v>
      </c>
      <c r="G101" t="s">
        <v>35</v>
      </c>
      <c r="H101">
        <v>3</v>
      </c>
      <c r="I101" s="4" t="s">
        <v>35</v>
      </c>
      <c r="J101" s="4" t="s">
        <v>194</v>
      </c>
      <c r="K101" t="s">
        <v>60</v>
      </c>
      <c r="L101">
        <v>50</v>
      </c>
      <c r="M101">
        <v>350</v>
      </c>
      <c r="N101">
        <v>185</v>
      </c>
      <c r="O101">
        <v>250</v>
      </c>
      <c r="R101" t="s">
        <v>65</v>
      </c>
    </row>
    <row r="102" spans="1:18">
      <c r="A102" t="s">
        <v>101</v>
      </c>
      <c r="B102" t="s">
        <v>102</v>
      </c>
      <c r="C102" t="s">
        <v>42</v>
      </c>
      <c r="D102" t="s">
        <v>2</v>
      </c>
      <c r="E102" t="s">
        <v>32</v>
      </c>
      <c r="F102" t="s">
        <v>71</v>
      </c>
      <c r="G102" t="s">
        <v>35</v>
      </c>
      <c r="H102">
        <v>3</v>
      </c>
      <c r="I102" s="4" t="s">
        <v>35</v>
      </c>
      <c r="J102" s="4" t="s">
        <v>194</v>
      </c>
      <c r="K102" t="s">
        <v>60</v>
      </c>
      <c r="L102">
        <v>50</v>
      </c>
      <c r="M102">
        <v>250</v>
      </c>
      <c r="N102">
        <v>185</v>
      </c>
      <c r="O102">
        <v>250</v>
      </c>
    </row>
    <row r="103" spans="1:18">
      <c r="A103" t="s">
        <v>1</v>
      </c>
      <c r="B103" t="s">
        <v>102</v>
      </c>
      <c r="C103" t="s">
        <v>42</v>
      </c>
      <c r="D103" t="s">
        <v>2</v>
      </c>
      <c r="E103" t="s">
        <v>20</v>
      </c>
      <c r="F103" t="s">
        <v>40</v>
      </c>
      <c r="G103" t="s">
        <v>35</v>
      </c>
      <c r="H103">
        <v>3</v>
      </c>
      <c r="I103" s="4" t="s">
        <v>35</v>
      </c>
      <c r="J103" s="4" t="s">
        <v>194</v>
      </c>
      <c r="K103" t="s">
        <v>60</v>
      </c>
      <c r="L103">
        <v>50</v>
      </c>
      <c r="M103">
        <v>350</v>
      </c>
      <c r="N103">
        <v>185</v>
      </c>
      <c r="O103">
        <v>250</v>
      </c>
      <c r="R103" t="s">
        <v>65</v>
      </c>
    </row>
    <row r="104" spans="1:18">
      <c r="A104" t="s">
        <v>101</v>
      </c>
      <c r="B104" t="s">
        <v>102</v>
      </c>
      <c r="C104" t="s">
        <v>42</v>
      </c>
      <c r="D104" t="s">
        <v>2</v>
      </c>
      <c r="E104" t="s">
        <v>20</v>
      </c>
      <c r="F104" t="s">
        <v>40</v>
      </c>
      <c r="G104" t="s">
        <v>35</v>
      </c>
      <c r="H104">
        <v>3</v>
      </c>
      <c r="I104" s="4" t="s">
        <v>35</v>
      </c>
      <c r="J104" s="4" t="s">
        <v>194</v>
      </c>
      <c r="K104" t="s">
        <v>60</v>
      </c>
      <c r="L104">
        <v>50</v>
      </c>
      <c r="M104">
        <v>250</v>
      </c>
      <c r="N104">
        <v>185</v>
      </c>
      <c r="O104">
        <v>250</v>
      </c>
    </row>
    <row r="105" spans="1:18">
      <c r="A105" t="s">
        <v>54</v>
      </c>
      <c r="B105" t="s">
        <v>10</v>
      </c>
      <c r="C105" t="s">
        <v>10</v>
      </c>
      <c r="D105" t="s">
        <v>2</v>
      </c>
      <c r="E105" t="s">
        <v>20</v>
      </c>
      <c r="F105" t="s">
        <v>40</v>
      </c>
      <c r="G105" t="s">
        <v>35</v>
      </c>
      <c r="H105">
        <v>3</v>
      </c>
      <c r="I105" s="4" t="s">
        <v>35</v>
      </c>
      <c r="J105" s="4" t="s">
        <v>194</v>
      </c>
      <c r="K105" t="s">
        <v>60</v>
      </c>
      <c r="L105">
        <v>15</v>
      </c>
      <c r="M105">
        <v>350</v>
      </c>
      <c r="N105">
        <v>250</v>
      </c>
      <c r="O105">
        <v>300</v>
      </c>
      <c r="P105">
        <v>0.8</v>
      </c>
      <c r="R105" t="s">
        <v>107</v>
      </c>
    </row>
    <row r="106" spans="1:18">
      <c r="A106" t="s">
        <v>80</v>
      </c>
      <c r="B106" t="s">
        <v>10</v>
      </c>
      <c r="C106" t="s">
        <v>91</v>
      </c>
      <c r="D106" t="s">
        <v>2</v>
      </c>
      <c r="E106" t="s">
        <v>20</v>
      </c>
      <c r="F106" t="s">
        <v>40</v>
      </c>
      <c r="G106" t="s">
        <v>35</v>
      </c>
      <c r="H106">
        <v>3</v>
      </c>
      <c r="I106" s="4" t="s">
        <v>35</v>
      </c>
      <c r="J106" s="4" t="s">
        <v>194</v>
      </c>
      <c r="K106" t="s">
        <v>60</v>
      </c>
      <c r="L106">
        <v>15</v>
      </c>
      <c r="M106">
        <v>350</v>
      </c>
      <c r="N106">
        <v>250</v>
      </c>
      <c r="O106">
        <v>300</v>
      </c>
      <c r="P106">
        <v>0.8</v>
      </c>
      <c r="R106" t="s">
        <v>107</v>
      </c>
    </row>
    <row r="107" spans="1:18">
      <c r="A107" t="s">
        <v>52</v>
      </c>
      <c r="B107" t="s">
        <v>10</v>
      </c>
      <c r="C107" t="s">
        <v>92</v>
      </c>
      <c r="D107" t="s">
        <v>2</v>
      </c>
      <c r="E107" t="s">
        <v>20</v>
      </c>
      <c r="F107" t="s">
        <v>40</v>
      </c>
      <c r="G107" t="s">
        <v>35</v>
      </c>
      <c r="H107">
        <v>3</v>
      </c>
      <c r="I107" s="4" t="s">
        <v>35</v>
      </c>
      <c r="J107" s="4" t="s">
        <v>194</v>
      </c>
      <c r="K107" t="s">
        <v>60</v>
      </c>
      <c r="L107">
        <v>15</v>
      </c>
      <c r="M107">
        <v>350</v>
      </c>
      <c r="N107">
        <v>250</v>
      </c>
      <c r="O107">
        <v>300</v>
      </c>
      <c r="P107">
        <v>0.8</v>
      </c>
      <c r="R107" t="s">
        <v>107</v>
      </c>
    </row>
    <row r="108" spans="1:18">
      <c r="A108" t="s">
        <v>90</v>
      </c>
      <c r="B108" t="s">
        <v>10</v>
      </c>
      <c r="C108" t="s">
        <v>93</v>
      </c>
      <c r="D108" t="s">
        <v>2</v>
      </c>
      <c r="E108" t="s">
        <v>20</v>
      </c>
      <c r="F108" t="s">
        <v>40</v>
      </c>
      <c r="G108">
        <v>3</v>
      </c>
      <c r="H108">
        <v>3</v>
      </c>
      <c r="I108" s="4" t="s">
        <v>193</v>
      </c>
      <c r="J108" s="4" t="s">
        <v>194</v>
      </c>
      <c r="K108" t="s">
        <v>60</v>
      </c>
      <c r="L108">
        <v>150</v>
      </c>
      <c r="M108">
        <v>350</v>
      </c>
      <c r="N108">
        <v>250</v>
      </c>
      <c r="O108">
        <v>300</v>
      </c>
      <c r="P108">
        <v>0.8</v>
      </c>
      <c r="Q108">
        <v>2425</v>
      </c>
    </row>
    <row r="109" spans="1:18">
      <c r="A109" t="s">
        <v>192</v>
      </c>
      <c r="B109" t="s">
        <v>10</v>
      </c>
      <c r="C109" t="s">
        <v>103</v>
      </c>
      <c r="D109" t="s">
        <v>2</v>
      </c>
      <c r="E109" t="s">
        <v>20</v>
      </c>
      <c r="F109" t="s">
        <v>40</v>
      </c>
      <c r="G109" t="s">
        <v>35</v>
      </c>
      <c r="H109">
        <v>3</v>
      </c>
      <c r="I109" s="4" t="s">
        <v>35</v>
      </c>
      <c r="J109" s="4" t="s">
        <v>194</v>
      </c>
      <c r="K109" t="s">
        <v>60</v>
      </c>
      <c r="L109">
        <v>15</v>
      </c>
      <c r="M109">
        <v>350</v>
      </c>
      <c r="N109">
        <v>250</v>
      </c>
      <c r="O109">
        <v>300</v>
      </c>
      <c r="P109">
        <v>0.8</v>
      </c>
      <c r="R109" t="s">
        <v>107</v>
      </c>
    </row>
    <row r="110" spans="1:18">
      <c r="A110" t="s">
        <v>54</v>
      </c>
      <c r="B110" t="s">
        <v>10</v>
      </c>
      <c r="C110" t="s">
        <v>10</v>
      </c>
      <c r="D110" t="s">
        <v>2</v>
      </c>
      <c r="E110" t="s">
        <v>32</v>
      </c>
      <c r="F110" t="s">
        <v>71</v>
      </c>
      <c r="G110" t="s">
        <v>35</v>
      </c>
      <c r="H110">
        <v>3</v>
      </c>
      <c r="I110" s="4" t="s">
        <v>35</v>
      </c>
      <c r="J110" s="4" t="s">
        <v>194</v>
      </c>
      <c r="K110" t="s">
        <v>60</v>
      </c>
      <c r="L110">
        <v>15</v>
      </c>
      <c r="M110">
        <v>350</v>
      </c>
      <c r="N110">
        <v>250</v>
      </c>
      <c r="O110">
        <v>300</v>
      </c>
      <c r="P110">
        <v>0.8</v>
      </c>
      <c r="R110" t="s">
        <v>107</v>
      </c>
    </row>
    <row r="111" spans="1:18">
      <c r="A111" t="s">
        <v>80</v>
      </c>
      <c r="B111" t="s">
        <v>10</v>
      </c>
      <c r="C111" t="s">
        <v>91</v>
      </c>
      <c r="D111" t="s">
        <v>2</v>
      </c>
      <c r="E111" t="s">
        <v>32</v>
      </c>
      <c r="F111" t="s">
        <v>71</v>
      </c>
      <c r="G111" t="s">
        <v>35</v>
      </c>
      <c r="H111">
        <v>3</v>
      </c>
      <c r="I111" s="4" t="s">
        <v>35</v>
      </c>
      <c r="J111" s="4" t="s">
        <v>194</v>
      </c>
      <c r="K111" t="s">
        <v>60</v>
      </c>
      <c r="L111">
        <v>15</v>
      </c>
      <c r="M111">
        <v>350</v>
      </c>
      <c r="N111">
        <v>250</v>
      </c>
      <c r="O111">
        <v>300</v>
      </c>
      <c r="P111">
        <v>0.8</v>
      </c>
      <c r="R111" t="s">
        <v>107</v>
      </c>
    </row>
    <row r="112" spans="1:18">
      <c r="A112" t="s">
        <v>52</v>
      </c>
      <c r="B112" t="s">
        <v>10</v>
      </c>
      <c r="C112" t="s">
        <v>92</v>
      </c>
      <c r="D112" t="s">
        <v>2</v>
      </c>
      <c r="E112" t="s">
        <v>32</v>
      </c>
      <c r="F112" t="s">
        <v>71</v>
      </c>
      <c r="G112" t="s">
        <v>35</v>
      </c>
      <c r="H112">
        <v>3</v>
      </c>
      <c r="I112" s="4" t="s">
        <v>35</v>
      </c>
      <c r="J112" s="4" t="s">
        <v>194</v>
      </c>
      <c r="K112" t="s">
        <v>60</v>
      </c>
      <c r="L112">
        <v>15</v>
      </c>
      <c r="M112">
        <v>350</v>
      </c>
      <c r="N112">
        <v>250</v>
      </c>
      <c r="O112">
        <v>300</v>
      </c>
      <c r="P112">
        <v>0.8</v>
      </c>
      <c r="R112" t="s">
        <v>107</v>
      </c>
    </row>
    <row r="113" spans="1:18">
      <c r="A113" t="s">
        <v>90</v>
      </c>
      <c r="B113" t="s">
        <v>10</v>
      </c>
      <c r="C113" t="s">
        <v>93</v>
      </c>
      <c r="D113" t="s">
        <v>2</v>
      </c>
      <c r="E113" t="s">
        <v>32</v>
      </c>
      <c r="F113" t="s">
        <v>71</v>
      </c>
      <c r="G113">
        <v>3</v>
      </c>
      <c r="H113">
        <v>3</v>
      </c>
      <c r="I113" s="4" t="s">
        <v>193</v>
      </c>
      <c r="J113" s="4" t="s">
        <v>194</v>
      </c>
      <c r="K113" t="s">
        <v>60</v>
      </c>
      <c r="L113">
        <v>150</v>
      </c>
      <c r="M113">
        <v>350</v>
      </c>
      <c r="N113">
        <v>250</v>
      </c>
      <c r="O113">
        <v>300</v>
      </c>
      <c r="P113">
        <v>0.8</v>
      </c>
      <c r="Q113">
        <v>2425</v>
      </c>
    </row>
    <row r="114" spans="1:18">
      <c r="A114" t="s">
        <v>192</v>
      </c>
      <c r="B114" t="s">
        <v>10</v>
      </c>
      <c r="C114" t="s">
        <v>103</v>
      </c>
      <c r="D114" t="s">
        <v>2</v>
      </c>
      <c r="E114" t="s">
        <v>32</v>
      </c>
      <c r="F114" t="s">
        <v>71</v>
      </c>
      <c r="G114" t="s">
        <v>35</v>
      </c>
      <c r="H114">
        <v>3</v>
      </c>
      <c r="I114" s="4" t="s">
        <v>35</v>
      </c>
      <c r="J114" s="4" t="s">
        <v>194</v>
      </c>
      <c r="K114" t="s">
        <v>60</v>
      </c>
      <c r="L114">
        <v>15</v>
      </c>
      <c r="M114">
        <v>350</v>
      </c>
      <c r="N114">
        <v>250</v>
      </c>
      <c r="O114">
        <v>300</v>
      </c>
      <c r="P114">
        <v>0.8</v>
      </c>
      <c r="R114" t="s">
        <v>107</v>
      </c>
    </row>
    <row r="115" spans="1:18">
      <c r="A115" t="s">
        <v>1</v>
      </c>
      <c r="B115" t="s">
        <v>95</v>
      </c>
      <c r="C115" t="s">
        <v>96</v>
      </c>
      <c r="D115" t="s">
        <v>2</v>
      </c>
      <c r="E115" t="s">
        <v>32</v>
      </c>
      <c r="F115" t="s">
        <v>71</v>
      </c>
      <c r="G115" t="s">
        <v>35</v>
      </c>
      <c r="H115">
        <v>3</v>
      </c>
      <c r="I115" s="4" t="s">
        <v>35</v>
      </c>
      <c r="J115" s="4" t="s">
        <v>194</v>
      </c>
      <c r="K115" t="s">
        <v>191</v>
      </c>
      <c r="L115">
        <v>100</v>
      </c>
      <c r="M115">
        <v>285</v>
      </c>
      <c r="N115">
        <v>200</v>
      </c>
      <c r="O115">
        <v>275</v>
      </c>
    </row>
    <row r="116" spans="1:18">
      <c r="A116" t="s">
        <v>94</v>
      </c>
      <c r="B116" t="s">
        <v>97</v>
      </c>
      <c r="C116" t="s">
        <v>96</v>
      </c>
      <c r="D116" t="s">
        <v>2</v>
      </c>
      <c r="E116" t="s">
        <v>32</v>
      </c>
      <c r="F116" t="s">
        <v>71</v>
      </c>
      <c r="G116" t="s">
        <v>35</v>
      </c>
      <c r="H116">
        <v>3</v>
      </c>
      <c r="I116" s="4" t="s">
        <v>35</v>
      </c>
      <c r="J116" s="4" t="s">
        <v>194</v>
      </c>
      <c r="K116" t="s">
        <v>191</v>
      </c>
      <c r="L116">
        <v>50</v>
      </c>
      <c r="M116">
        <v>350</v>
      </c>
      <c r="N116">
        <v>200</v>
      </c>
      <c r="O116">
        <v>275</v>
      </c>
    </row>
    <row r="117" spans="1:18">
      <c r="A117" t="s">
        <v>1</v>
      </c>
      <c r="B117" t="s">
        <v>95</v>
      </c>
      <c r="C117" t="s">
        <v>98</v>
      </c>
      <c r="D117" t="s">
        <v>2</v>
      </c>
      <c r="E117" t="s">
        <v>32</v>
      </c>
      <c r="F117" t="s">
        <v>71</v>
      </c>
      <c r="G117" t="s">
        <v>35</v>
      </c>
      <c r="H117">
        <v>3</v>
      </c>
      <c r="I117" s="4" t="s">
        <v>35</v>
      </c>
      <c r="J117" s="4" t="s">
        <v>194</v>
      </c>
      <c r="K117" t="s">
        <v>191</v>
      </c>
      <c r="L117">
        <v>100</v>
      </c>
      <c r="M117">
        <v>285</v>
      </c>
      <c r="N117">
        <v>200</v>
      </c>
      <c r="O117">
        <v>275</v>
      </c>
    </row>
    <row r="118" spans="1:18">
      <c r="A118" t="s">
        <v>1</v>
      </c>
      <c r="B118" t="s">
        <v>95</v>
      </c>
      <c r="C118" t="s">
        <v>96</v>
      </c>
      <c r="D118" t="s">
        <v>2</v>
      </c>
      <c r="E118" t="s">
        <v>32</v>
      </c>
      <c r="F118" t="s">
        <v>71</v>
      </c>
      <c r="G118" t="s">
        <v>35</v>
      </c>
      <c r="H118">
        <v>3</v>
      </c>
      <c r="I118" s="4" t="s">
        <v>35</v>
      </c>
      <c r="J118" s="4" t="s">
        <v>194</v>
      </c>
      <c r="K118" t="s">
        <v>60</v>
      </c>
      <c r="L118">
        <v>100</v>
      </c>
      <c r="M118">
        <v>350</v>
      </c>
      <c r="N118">
        <v>220</v>
      </c>
      <c r="O118">
        <v>300</v>
      </c>
    </row>
    <row r="119" spans="1:18">
      <c r="A119" t="s">
        <v>94</v>
      </c>
      <c r="B119" t="s">
        <v>97</v>
      </c>
      <c r="C119" t="s">
        <v>96</v>
      </c>
      <c r="D119" t="s">
        <v>2</v>
      </c>
      <c r="E119" t="s">
        <v>32</v>
      </c>
      <c r="F119" t="s">
        <v>71</v>
      </c>
      <c r="G119" t="s">
        <v>35</v>
      </c>
      <c r="H119">
        <v>3</v>
      </c>
      <c r="I119" s="4" t="s">
        <v>35</v>
      </c>
      <c r="J119" s="4" t="s">
        <v>194</v>
      </c>
      <c r="K119" t="s">
        <v>60</v>
      </c>
      <c r="L119">
        <v>50</v>
      </c>
      <c r="M119">
        <v>350</v>
      </c>
      <c r="N119">
        <v>220</v>
      </c>
      <c r="O119">
        <v>270</v>
      </c>
    </row>
    <row r="120" spans="1:18">
      <c r="A120" t="s">
        <v>1</v>
      </c>
      <c r="B120" t="s">
        <v>95</v>
      </c>
      <c r="C120" t="s">
        <v>98</v>
      </c>
      <c r="D120" t="s">
        <v>2</v>
      </c>
      <c r="E120" t="s">
        <v>32</v>
      </c>
      <c r="F120" t="s">
        <v>71</v>
      </c>
      <c r="G120" t="s">
        <v>35</v>
      </c>
      <c r="H120">
        <v>3</v>
      </c>
      <c r="I120" s="4" t="s">
        <v>35</v>
      </c>
      <c r="J120" s="4" t="s">
        <v>194</v>
      </c>
      <c r="K120" t="s">
        <v>60</v>
      </c>
      <c r="L120">
        <v>100</v>
      </c>
      <c r="M120">
        <v>350</v>
      </c>
      <c r="N120">
        <v>220</v>
      </c>
      <c r="O120">
        <v>300</v>
      </c>
    </row>
    <row r="121" spans="1:18">
      <c r="A121" t="s">
        <v>1</v>
      </c>
      <c r="B121" t="s">
        <v>95</v>
      </c>
      <c r="C121" t="s">
        <v>96</v>
      </c>
      <c r="D121" t="s">
        <v>2</v>
      </c>
      <c r="E121" t="s">
        <v>20</v>
      </c>
      <c r="F121" t="s">
        <v>40</v>
      </c>
      <c r="G121" t="s">
        <v>35</v>
      </c>
      <c r="H121">
        <v>3</v>
      </c>
      <c r="I121" s="4" t="s">
        <v>35</v>
      </c>
      <c r="J121" s="4" t="s">
        <v>194</v>
      </c>
      <c r="K121" t="s">
        <v>191</v>
      </c>
      <c r="L121">
        <v>100</v>
      </c>
      <c r="M121">
        <v>285</v>
      </c>
      <c r="N121">
        <v>200</v>
      </c>
      <c r="O121">
        <v>275</v>
      </c>
    </row>
    <row r="122" spans="1:18">
      <c r="A122" t="s">
        <v>94</v>
      </c>
      <c r="B122" t="s">
        <v>97</v>
      </c>
      <c r="C122" t="s">
        <v>96</v>
      </c>
      <c r="D122" t="s">
        <v>2</v>
      </c>
      <c r="E122" t="s">
        <v>20</v>
      </c>
      <c r="F122" t="s">
        <v>40</v>
      </c>
      <c r="G122" t="s">
        <v>35</v>
      </c>
      <c r="H122">
        <v>3</v>
      </c>
      <c r="I122" s="4" t="s">
        <v>35</v>
      </c>
      <c r="J122" s="4" t="s">
        <v>194</v>
      </c>
      <c r="K122" t="s">
        <v>191</v>
      </c>
      <c r="L122">
        <v>50</v>
      </c>
      <c r="M122">
        <v>350</v>
      </c>
      <c r="N122">
        <v>200</v>
      </c>
      <c r="O122">
        <v>275</v>
      </c>
    </row>
    <row r="123" spans="1:18">
      <c r="A123" t="s">
        <v>1</v>
      </c>
      <c r="B123" t="s">
        <v>95</v>
      </c>
      <c r="C123" t="s">
        <v>98</v>
      </c>
      <c r="D123" t="s">
        <v>2</v>
      </c>
      <c r="E123" t="s">
        <v>20</v>
      </c>
      <c r="F123" t="s">
        <v>40</v>
      </c>
      <c r="G123" t="s">
        <v>35</v>
      </c>
      <c r="H123">
        <v>3</v>
      </c>
      <c r="I123" s="4" t="s">
        <v>35</v>
      </c>
      <c r="J123" s="4" t="s">
        <v>194</v>
      </c>
      <c r="K123" t="s">
        <v>191</v>
      </c>
      <c r="L123">
        <v>100</v>
      </c>
      <c r="M123">
        <v>285</v>
      </c>
      <c r="N123">
        <v>200</v>
      </c>
      <c r="O123">
        <v>275</v>
      </c>
    </row>
    <row r="124" spans="1:18">
      <c r="A124" t="s">
        <v>1</v>
      </c>
      <c r="B124" t="s">
        <v>95</v>
      </c>
      <c r="C124" t="s">
        <v>96</v>
      </c>
      <c r="D124" t="s">
        <v>2</v>
      </c>
      <c r="E124" t="s">
        <v>20</v>
      </c>
      <c r="F124" t="s">
        <v>40</v>
      </c>
      <c r="G124" t="s">
        <v>35</v>
      </c>
      <c r="H124">
        <v>3</v>
      </c>
      <c r="I124" s="4" t="s">
        <v>35</v>
      </c>
      <c r="J124" s="4" t="s">
        <v>194</v>
      </c>
      <c r="K124" t="s">
        <v>60</v>
      </c>
      <c r="L124">
        <v>100</v>
      </c>
      <c r="M124">
        <v>350</v>
      </c>
      <c r="N124">
        <v>220</v>
      </c>
      <c r="O124">
        <v>300</v>
      </c>
    </row>
    <row r="125" spans="1:18">
      <c r="A125" t="s">
        <v>94</v>
      </c>
      <c r="B125" t="s">
        <v>97</v>
      </c>
      <c r="C125" t="s">
        <v>96</v>
      </c>
      <c r="D125" t="s">
        <v>2</v>
      </c>
      <c r="E125" t="s">
        <v>20</v>
      </c>
      <c r="F125" t="s">
        <v>40</v>
      </c>
      <c r="G125" t="s">
        <v>35</v>
      </c>
      <c r="H125">
        <v>3</v>
      </c>
      <c r="I125" s="4" t="s">
        <v>35</v>
      </c>
      <c r="J125" s="4" t="s">
        <v>194</v>
      </c>
      <c r="K125" t="s">
        <v>60</v>
      </c>
      <c r="L125">
        <v>50</v>
      </c>
      <c r="M125">
        <v>350</v>
      </c>
      <c r="N125">
        <v>220</v>
      </c>
      <c r="O125">
        <v>270</v>
      </c>
    </row>
    <row r="126" spans="1:18">
      <c r="A126" t="s">
        <v>1</v>
      </c>
      <c r="B126" t="s">
        <v>95</v>
      </c>
      <c r="C126" t="s">
        <v>98</v>
      </c>
      <c r="D126" t="s">
        <v>2</v>
      </c>
      <c r="E126" t="s">
        <v>20</v>
      </c>
      <c r="F126" t="s">
        <v>40</v>
      </c>
      <c r="G126" t="s">
        <v>35</v>
      </c>
      <c r="H126">
        <v>3</v>
      </c>
      <c r="I126" s="4" t="s">
        <v>35</v>
      </c>
      <c r="J126" s="4" t="s">
        <v>194</v>
      </c>
      <c r="K126" t="s">
        <v>60</v>
      </c>
      <c r="L126">
        <v>100</v>
      </c>
      <c r="M126">
        <v>350</v>
      </c>
      <c r="N126">
        <v>220</v>
      </c>
      <c r="O126">
        <v>300</v>
      </c>
    </row>
    <row r="127" spans="1:18">
      <c r="A127" t="s">
        <v>1</v>
      </c>
      <c r="B127" t="s">
        <v>99</v>
      </c>
      <c r="C127" t="s">
        <v>39</v>
      </c>
      <c r="D127" t="s">
        <v>2</v>
      </c>
      <c r="E127" t="s">
        <v>32</v>
      </c>
      <c r="F127" t="s">
        <v>71</v>
      </c>
      <c r="G127" t="s">
        <v>35</v>
      </c>
      <c r="H127">
        <v>3</v>
      </c>
      <c r="I127" s="4" t="s">
        <v>35</v>
      </c>
      <c r="J127" s="4" t="s">
        <v>194</v>
      </c>
      <c r="K127" t="s">
        <v>191</v>
      </c>
      <c r="L127">
        <v>50</v>
      </c>
      <c r="M127">
        <v>350</v>
      </c>
      <c r="N127">
        <v>180</v>
      </c>
      <c r="O127">
        <v>300</v>
      </c>
    </row>
    <row r="128" spans="1:18">
      <c r="A128" t="s">
        <v>1</v>
      </c>
      <c r="B128" t="s">
        <v>99</v>
      </c>
      <c r="C128" t="s">
        <v>39</v>
      </c>
      <c r="D128" t="s">
        <v>2</v>
      </c>
      <c r="E128" t="s">
        <v>20</v>
      </c>
      <c r="F128" t="s">
        <v>40</v>
      </c>
      <c r="G128" t="s">
        <v>35</v>
      </c>
      <c r="H128">
        <v>3</v>
      </c>
      <c r="I128" s="4" t="s">
        <v>35</v>
      </c>
      <c r="J128" s="4" t="s">
        <v>194</v>
      </c>
      <c r="K128" t="s">
        <v>191</v>
      </c>
      <c r="L128">
        <v>50</v>
      </c>
      <c r="M128">
        <v>350</v>
      </c>
      <c r="N128">
        <v>180</v>
      </c>
      <c r="O128">
        <v>300</v>
      </c>
    </row>
    <row r="129" spans="1:18">
      <c r="A129" t="s">
        <v>1</v>
      </c>
      <c r="B129" t="s">
        <v>99</v>
      </c>
      <c r="C129" t="s">
        <v>39</v>
      </c>
      <c r="D129" t="s">
        <v>2</v>
      </c>
      <c r="E129" t="s">
        <v>32</v>
      </c>
      <c r="F129" t="s">
        <v>71</v>
      </c>
      <c r="G129" t="s">
        <v>35</v>
      </c>
      <c r="H129">
        <v>3</v>
      </c>
      <c r="I129" s="4" t="s">
        <v>35</v>
      </c>
      <c r="J129" s="4" t="s">
        <v>194</v>
      </c>
      <c r="K129" t="s">
        <v>60</v>
      </c>
      <c r="L129">
        <v>50</v>
      </c>
      <c r="M129">
        <v>350</v>
      </c>
      <c r="N129">
        <v>200</v>
      </c>
      <c r="O129">
        <v>300</v>
      </c>
    </row>
    <row r="130" spans="1:18">
      <c r="A130" t="s">
        <v>1</v>
      </c>
      <c r="B130" t="s">
        <v>99</v>
      </c>
      <c r="C130" t="s">
        <v>39</v>
      </c>
      <c r="D130" t="s">
        <v>2</v>
      </c>
      <c r="E130" t="s">
        <v>20</v>
      </c>
      <c r="F130" t="s">
        <v>40</v>
      </c>
      <c r="G130" t="s">
        <v>35</v>
      </c>
      <c r="H130">
        <v>3</v>
      </c>
      <c r="I130" s="4" t="s">
        <v>35</v>
      </c>
      <c r="J130" s="4" t="s">
        <v>194</v>
      </c>
      <c r="K130" t="s">
        <v>60</v>
      </c>
      <c r="L130">
        <v>50</v>
      </c>
      <c r="M130">
        <v>350</v>
      </c>
      <c r="N130">
        <v>200</v>
      </c>
      <c r="O130">
        <v>300</v>
      </c>
    </row>
    <row r="131" spans="1:18">
      <c r="A131" t="s">
        <v>104</v>
      </c>
      <c r="B131" t="s">
        <v>105</v>
      </c>
      <c r="C131" t="s">
        <v>39</v>
      </c>
      <c r="D131" t="s">
        <v>2</v>
      </c>
      <c r="E131" t="s">
        <v>32</v>
      </c>
      <c r="F131" t="s">
        <v>71</v>
      </c>
      <c r="G131" t="s">
        <v>35</v>
      </c>
      <c r="H131">
        <v>3</v>
      </c>
      <c r="I131" s="4" t="s">
        <v>35</v>
      </c>
      <c r="J131" s="4" t="s">
        <v>194</v>
      </c>
      <c r="K131" t="s">
        <v>191</v>
      </c>
      <c r="L131">
        <v>50</v>
      </c>
      <c r="M131">
        <v>300</v>
      </c>
      <c r="N131">
        <v>200</v>
      </c>
      <c r="O131">
        <v>325</v>
      </c>
      <c r="R131" t="s">
        <v>108</v>
      </c>
    </row>
    <row r="132" spans="1:18">
      <c r="A132" t="s">
        <v>104</v>
      </c>
      <c r="B132" t="s">
        <v>105</v>
      </c>
      <c r="C132" t="s">
        <v>39</v>
      </c>
      <c r="D132" t="s">
        <v>2</v>
      </c>
      <c r="E132" t="s">
        <v>20</v>
      </c>
      <c r="F132" t="s">
        <v>40</v>
      </c>
      <c r="G132" t="s">
        <v>35</v>
      </c>
      <c r="H132">
        <v>3</v>
      </c>
      <c r="I132" s="4" t="s">
        <v>35</v>
      </c>
      <c r="J132" s="4" t="s">
        <v>194</v>
      </c>
      <c r="K132" t="s">
        <v>191</v>
      </c>
      <c r="L132">
        <v>50</v>
      </c>
      <c r="M132">
        <v>300</v>
      </c>
      <c r="N132">
        <v>200</v>
      </c>
      <c r="O132">
        <v>325</v>
      </c>
      <c r="R132" t="s">
        <v>108</v>
      </c>
    </row>
    <row r="133" spans="1:18">
      <c r="A133" t="s">
        <v>101</v>
      </c>
      <c r="B133" t="s">
        <v>106</v>
      </c>
      <c r="C133" t="s">
        <v>39</v>
      </c>
      <c r="D133" t="s">
        <v>2</v>
      </c>
      <c r="E133" t="s">
        <v>32</v>
      </c>
      <c r="F133" t="s">
        <v>71</v>
      </c>
      <c r="G133" t="s">
        <v>35</v>
      </c>
      <c r="H133">
        <v>3</v>
      </c>
      <c r="I133" s="4" t="s">
        <v>35</v>
      </c>
      <c r="J133" s="4" t="s">
        <v>194</v>
      </c>
      <c r="K133" t="s">
        <v>191</v>
      </c>
      <c r="L133">
        <v>150</v>
      </c>
      <c r="M133">
        <v>350</v>
      </c>
      <c r="N133">
        <v>225</v>
      </c>
      <c r="O133">
        <v>300</v>
      </c>
      <c r="Q133">
        <v>4005</v>
      </c>
    </row>
    <row r="134" spans="1:18">
      <c r="A134" t="s">
        <v>101</v>
      </c>
      <c r="B134" t="s">
        <v>106</v>
      </c>
      <c r="C134" t="s">
        <v>39</v>
      </c>
      <c r="D134" t="s">
        <v>2</v>
      </c>
      <c r="E134" t="s">
        <v>20</v>
      </c>
      <c r="F134" t="s">
        <v>40</v>
      </c>
      <c r="G134" t="s">
        <v>35</v>
      </c>
      <c r="H134">
        <v>3</v>
      </c>
      <c r="I134" s="4" t="s">
        <v>35</v>
      </c>
      <c r="J134" s="4" t="s">
        <v>194</v>
      </c>
      <c r="K134" t="s">
        <v>191</v>
      </c>
      <c r="L134">
        <v>150</v>
      </c>
      <c r="M134">
        <v>350</v>
      </c>
      <c r="N134">
        <v>225</v>
      </c>
      <c r="O134">
        <v>300</v>
      </c>
      <c r="Q134">
        <v>4005</v>
      </c>
    </row>
    <row r="135" spans="1:18">
      <c r="A135" t="s">
        <v>101</v>
      </c>
      <c r="B135" t="s">
        <v>106</v>
      </c>
      <c r="C135" t="s">
        <v>39</v>
      </c>
      <c r="D135" t="s">
        <v>2</v>
      </c>
      <c r="E135" t="s">
        <v>32</v>
      </c>
      <c r="F135" t="s">
        <v>71</v>
      </c>
      <c r="G135" t="s">
        <v>35</v>
      </c>
      <c r="H135">
        <v>3</v>
      </c>
      <c r="I135" s="4" t="s">
        <v>35</v>
      </c>
      <c r="J135" s="4" t="s">
        <v>194</v>
      </c>
      <c r="K135" t="s">
        <v>60</v>
      </c>
      <c r="L135">
        <v>150</v>
      </c>
      <c r="M135">
        <v>350</v>
      </c>
      <c r="N135">
        <v>225</v>
      </c>
      <c r="O135">
        <v>300</v>
      </c>
      <c r="Q135">
        <v>2670</v>
      </c>
    </row>
    <row r="136" spans="1:18">
      <c r="A136" t="s">
        <v>101</v>
      </c>
      <c r="B136" t="s">
        <v>106</v>
      </c>
      <c r="C136" t="s">
        <v>39</v>
      </c>
      <c r="D136" t="s">
        <v>2</v>
      </c>
      <c r="E136" t="s">
        <v>20</v>
      </c>
      <c r="F136" t="s">
        <v>40</v>
      </c>
      <c r="G136" t="s">
        <v>35</v>
      </c>
      <c r="H136">
        <v>3</v>
      </c>
      <c r="I136" s="4" t="s">
        <v>35</v>
      </c>
      <c r="J136" s="4" t="s">
        <v>194</v>
      </c>
      <c r="K136" t="s">
        <v>60</v>
      </c>
      <c r="L136">
        <v>150</v>
      </c>
      <c r="M136">
        <v>350</v>
      </c>
      <c r="N136">
        <v>225</v>
      </c>
      <c r="O136">
        <v>300</v>
      </c>
      <c r="Q136">
        <v>2670</v>
      </c>
    </row>
    <row r="137" spans="1:18">
      <c r="A137" t="s">
        <v>63</v>
      </c>
      <c r="B137" t="s">
        <v>64</v>
      </c>
      <c r="C137" t="s">
        <v>22</v>
      </c>
      <c r="D137" t="s">
        <v>2</v>
      </c>
      <c r="E137" t="s">
        <v>21</v>
      </c>
      <c r="F137" t="s">
        <v>39</v>
      </c>
      <c r="G137" t="s">
        <v>35</v>
      </c>
      <c r="H137">
        <v>3</v>
      </c>
      <c r="I137" s="4" t="s">
        <v>35</v>
      </c>
      <c r="J137" s="4" t="s">
        <v>194</v>
      </c>
      <c r="K137" t="s">
        <v>22</v>
      </c>
      <c r="L137">
        <v>100</v>
      </c>
      <c r="M137">
        <v>300</v>
      </c>
      <c r="N137">
        <v>230</v>
      </c>
      <c r="O137">
        <v>350</v>
      </c>
    </row>
    <row r="138" spans="1:18">
      <c r="A138" t="s">
        <v>54</v>
      </c>
      <c r="B138" t="s">
        <v>10</v>
      </c>
      <c r="C138" t="s">
        <v>10</v>
      </c>
      <c r="D138" t="s">
        <v>2</v>
      </c>
      <c r="E138" t="s">
        <v>21</v>
      </c>
      <c r="F138" t="s">
        <v>39</v>
      </c>
      <c r="G138" t="s">
        <v>35</v>
      </c>
      <c r="H138">
        <v>3</v>
      </c>
      <c r="I138" s="4" t="s">
        <v>35</v>
      </c>
      <c r="J138" s="4" t="s">
        <v>194</v>
      </c>
      <c r="K138" t="s">
        <v>22</v>
      </c>
      <c r="L138">
        <v>80</v>
      </c>
      <c r="M138">
        <v>350</v>
      </c>
      <c r="N138">
        <v>265</v>
      </c>
      <c r="O138">
        <v>325</v>
      </c>
      <c r="P138">
        <v>0.84</v>
      </c>
    </row>
    <row r="139" spans="1:18">
      <c r="A139" t="s">
        <v>80</v>
      </c>
      <c r="B139" t="s">
        <v>10</v>
      </c>
      <c r="C139" t="s">
        <v>91</v>
      </c>
      <c r="D139" t="s">
        <v>2</v>
      </c>
      <c r="E139" t="s">
        <v>21</v>
      </c>
      <c r="F139" t="s">
        <v>39</v>
      </c>
      <c r="G139" t="s">
        <v>35</v>
      </c>
      <c r="H139">
        <v>3</v>
      </c>
      <c r="I139" s="4" t="s">
        <v>35</v>
      </c>
      <c r="J139" s="4" t="s">
        <v>194</v>
      </c>
      <c r="K139" t="s">
        <v>22</v>
      </c>
      <c r="L139">
        <v>80</v>
      </c>
      <c r="M139">
        <v>350</v>
      </c>
      <c r="N139">
        <v>265</v>
      </c>
      <c r="O139">
        <v>325</v>
      </c>
      <c r="P139">
        <v>0.84</v>
      </c>
    </row>
    <row r="140" spans="1:18">
      <c r="A140" t="s">
        <v>52</v>
      </c>
      <c r="B140" t="s">
        <v>10</v>
      </c>
      <c r="C140" t="s">
        <v>92</v>
      </c>
      <c r="D140" t="s">
        <v>2</v>
      </c>
      <c r="E140" t="s">
        <v>21</v>
      </c>
      <c r="F140" t="s">
        <v>39</v>
      </c>
      <c r="G140" t="s">
        <v>35</v>
      </c>
      <c r="H140">
        <v>3</v>
      </c>
      <c r="I140" s="4" t="s">
        <v>35</v>
      </c>
      <c r="J140" s="4" t="s">
        <v>194</v>
      </c>
      <c r="K140" t="s">
        <v>22</v>
      </c>
      <c r="L140">
        <v>80</v>
      </c>
      <c r="M140">
        <v>350</v>
      </c>
      <c r="N140">
        <v>265</v>
      </c>
      <c r="O140">
        <v>325</v>
      </c>
      <c r="P140">
        <v>0.84</v>
      </c>
    </row>
    <row r="141" spans="1:18">
      <c r="A141" t="s">
        <v>90</v>
      </c>
      <c r="B141" t="s">
        <v>10</v>
      </c>
      <c r="C141" t="s">
        <v>93</v>
      </c>
      <c r="D141" t="s">
        <v>2</v>
      </c>
      <c r="E141" t="s">
        <v>21</v>
      </c>
      <c r="F141" t="s">
        <v>39</v>
      </c>
      <c r="G141">
        <v>3</v>
      </c>
      <c r="H141">
        <v>3</v>
      </c>
      <c r="I141" s="4" t="s">
        <v>193</v>
      </c>
      <c r="J141" s="4" t="s">
        <v>194</v>
      </c>
      <c r="K141" t="s">
        <v>22</v>
      </c>
      <c r="L141">
        <v>80</v>
      </c>
      <c r="M141">
        <v>350</v>
      </c>
      <c r="N141">
        <v>265</v>
      </c>
      <c r="O141">
        <v>325</v>
      </c>
      <c r="P141">
        <v>0.84</v>
      </c>
      <c r="Q141">
        <v>2200</v>
      </c>
    </row>
    <row r="142" spans="1:18">
      <c r="A142" t="s">
        <v>1</v>
      </c>
      <c r="B142" t="s">
        <v>95</v>
      </c>
      <c r="C142" t="s">
        <v>96</v>
      </c>
      <c r="D142" t="s">
        <v>2</v>
      </c>
      <c r="E142" t="s">
        <v>21</v>
      </c>
      <c r="F142" t="s">
        <v>39</v>
      </c>
      <c r="G142" t="s">
        <v>35</v>
      </c>
      <c r="H142">
        <v>3</v>
      </c>
      <c r="I142" s="4" t="s">
        <v>35</v>
      </c>
      <c r="J142" s="4" t="s">
        <v>194</v>
      </c>
      <c r="K142" t="s">
        <v>22</v>
      </c>
      <c r="L142">
        <v>100</v>
      </c>
      <c r="M142">
        <v>300</v>
      </c>
      <c r="N142">
        <v>230</v>
      </c>
      <c r="O142">
        <v>350</v>
      </c>
    </row>
    <row r="143" spans="1:18">
      <c r="A143" t="s">
        <v>94</v>
      </c>
      <c r="B143" t="s">
        <v>97</v>
      </c>
      <c r="C143" t="s">
        <v>96</v>
      </c>
      <c r="D143" t="s">
        <v>2</v>
      </c>
      <c r="E143" t="s">
        <v>21</v>
      </c>
      <c r="F143" t="s">
        <v>39</v>
      </c>
      <c r="G143" t="s">
        <v>35</v>
      </c>
      <c r="H143">
        <v>3</v>
      </c>
      <c r="I143" s="4" t="s">
        <v>35</v>
      </c>
      <c r="J143" s="4" t="s">
        <v>194</v>
      </c>
      <c r="K143" t="s">
        <v>22</v>
      </c>
      <c r="L143">
        <v>100</v>
      </c>
      <c r="M143">
        <v>300</v>
      </c>
      <c r="N143">
        <v>230</v>
      </c>
      <c r="O143">
        <v>350</v>
      </c>
    </row>
    <row r="144" spans="1:18">
      <c r="A144" t="s">
        <v>1</v>
      </c>
      <c r="B144" t="s">
        <v>95</v>
      </c>
      <c r="C144" t="s">
        <v>98</v>
      </c>
      <c r="D144" t="s">
        <v>2</v>
      </c>
      <c r="E144" t="s">
        <v>21</v>
      </c>
      <c r="F144" t="s">
        <v>39</v>
      </c>
      <c r="G144" t="s">
        <v>35</v>
      </c>
      <c r="H144">
        <v>3</v>
      </c>
      <c r="I144" s="4" t="s">
        <v>35</v>
      </c>
      <c r="J144" s="4" t="s">
        <v>194</v>
      </c>
      <c r="K144" t="s">
        <v>22</v>
      </c>
      <c r="L144">
        <v>100</v>
      </c>
      <c r="M144">
        <v>300</v>
      </c>
      <c r="N144">
        <v>230</v>
      </c>
      <c r="O144">
        <v>350</v>
      </c>
    </row>
    <row r="145" spans="1:17">
      <c r="A145" t="s">
        <v>1</v>
      </c>
      <c r="B145" t="s">
        <v>99</v>
      </c>
      <c r="C145" t="s">
        <v>39</v>
      </c>
      <c r="D145" t="s">
        <v>2</v>
      </c>
      <c r="E145" t="s">
        <v>21</v>
      </c>
      <c r="F145" t="s">
        <v>39</v>
      </c>
      <c r="G145" t="s">
        <v>35</v>
      </c>
      <c r="H145">
        <v>2</v>
      </c>
      <c r="I145" s="4" t="s">
        <v>35</v>
      </c>
      <c r="J145" s="4" t="s">
        <v>194</v>
      </c>
      <c r="K145" t="s">
        <v>22</v>
      </c>
      <c r="L145">
        <v>100</v>
      </c>
      <c r="M145">
        <v>350</v>
      </c>
      <c r="N145">
        <v>265</v>
      </c>
      <c r="O145">
        <v>325</v>
      </c>
    </row>
    <row r="146" spans="1:17">
      <c r="A146" t="s">
        <v>37</v>
      </c>
      <c r="B146" t="s">
        <v>99</v>
      </c>
      <c r="C146" t="s">
        <v>39</v>
      </c>
      <c r="D146" t="s">
        <v>2</v>
      </c>
      <c r="E146" t="s">
        <v>21</v>
      </c>
      <c r="F146" t="s">
        <v>39</v>
      </c>
      <c r="G146" t="s">
        <v>35</v>
      </c>
      <c r="H146">
        <v>2</v>
      </c>
      <c r="I146" s="4" t="s">
        <v>35</v>
      </c>
      <c r="J146" s="4" t="s">
        <v>194</v>
      </c>
      <c r="K146" t="s">
        <v>22</v>
      </c>
      <c r="L146">
        <v>100</v>
      </c>
      <c r="M146">
        <v>350</v>
      </c>
      <c r="N146">
        <v>265</v>
      </c>
      <c r="O146">
        <v>325</v>
      </c>
    </row>
    <row r="147" spans="1:17">
      <c r="A147" t="s">
        <v>101</v>
      </c>
      <c r="B147" t="s">
        <v>106</v>
      </c>
      <c r="C147" t="s">
        <v>39</v>
      </c>
      <c r="D147" t="s">
        <v>2</v>
      </c>
      <c r="E147" t="s">
        <v>21</v>
      </c>
      <c r="F147" t="s">
        <v>39</v>
      </c>
      <c r="G147" t="s">
        <v>35</v>
      </c>
      <c r="H147">
        <v>3</v>
      </c>
      <c r="I147" s="4" t="s">
        <v>35</v>
      </c>
      <c r="J147" s="4" t="s">
        <v>194</v>
      </c>
      <c r="K147" t="s">
        <v>22</v>
      </c>
      <c r="L147">
        <v>100</v>
      </c>
      <c r="M147">
        <v>300</v>
      </c>
      <c r="N147">
        <v>265</v>
      </c>
      <c r="O147">
        <v>325</v>
      </c>
    </row>
    <row r="148" spans="1:17">
      <c r="A148" t="s">
        <v>37</v>
      </c>
      <c r="B148" t="s">
        <v>106</v>
      </c>
      <c r="C148" t="s">
        <v>42</v>
      </c>
      <c r="D148" t="s">
        <v>2</v>
      </c>
      <c r="E148" t="s">
        <v>21</v>
      </c>
      <c r="F148" t="s">
        <v>39</v>
      </c>
      <c r="G148" t="s">
        <v>35</v>
      </c>
      <c r="H148">
        <v>3</v>
      </c>
      <c r="I148" s="4" t="s">
        <v>35</v>
      </c>
      <c r="J148" s="4" t="s">
        <v>194</v>
      </c>
      <c r="K148" t="s">
        <v>22</v>
      </c>
      <c r="L148">
        <v>100</v>
      </c>
      <c r="M148">
        <v>300</v>
      </c>
      <c r="N148">
        <v>265</v>
      </c>
      <c r="O148">
        <v>325</v>
      </c>
    </row>
    <row r="149" spans="1:17">
      <c r="A149" t="s">
        <v>54</v>
      </c>
      <c r="B149" t="s">
        <v>10</v>
      </c>
      <c r="C149" t="s">
        <v>10</v>
      </c>
      <c r="D149" t="s">
        <v>2</v>
      </c>
      <c r="E149" t="s">
        <v>10</v>
      </c>
      <c r="F149" t="s">
        <v>11</v>
      </c>
      <c r="G149" t="s">
        <v>35</v>
      </c>
      <c r="H149">
        <v>3</v>
      </c>
      <c r="I149" s="4" t="s">
        <v>35</v>
      </c>
      <c r="J149" s="4" t="s">
        <v>194</v>
      </c>
      <c r="K149" t="s">
        <v>22</v>
      </c>
      <c r="L149">
        <v>150</v>
      </c>
      <c r="M149">
        <v>300</v>
      </c>
      <c r="N149">
        <v>250</v>
      </c>
      <c r="O149">
        <v>290</v>
      </c>
      <c r="P149">
        <v>0.8</v>
      </c>
      <c r="Q149">
        <f>3600*2.20462</f>
        <v>7936.6319999999996</v>
      </c>
    </row>
    <row r="150" spans="1:17">
      <c r="A150" t="s">
        <v>80</v>
      </c>
      <c r="B150" t="s">
        <v>10</v>
      </c>
      <c r="C150" t="s">
        <v>91</v>
      </c>
      <c r="D150" t="s">
        <v>2</v>
      </c>
      <c r="E150" t="s">
        <v>10</v>
      </c>
      <c r="F150" t="s">
        <v>11</v>
      </c>
      <c r="G150" t="s">
        <v>35</v>
      </c>
      <c r="H150">
        <v>3</v>
      </c>
      <c r="I150" s="4" t="s">
        <v>35</v>
      </c>
      <c r="J150" s="4" t="s">
        <v>194</v>
      </c>
      <c r="K150" t="s">
        <v>22</v>
      </c>
      <c r="L150">
        <v>150</v>
      </c>
      <c r="M150">
        <v>300</v>
      </c>
      <c r="N150">
        <v>250</v>
      </c>
      <c r="O150">
        <v>290</v>
      </c>
      <c r="P150">
        <v>0.8</v>
      </c>
      <c r="Q150">
        <f>3600*2.20462</f>
        <v>7936.6319999999996</v>
      </c>
    </row>
    <row r="151" spans="1:17">
      <c r="A151" t="s">
        <v>52</v>
      </c>
      <c r="B151" t="s">
        <v>10</v>
      </c>
      <c r="C151" t="s">
        <v>92</v>
      </c>
      <c r="D151" t="s">
        <v>2</v>
      </c>
      <c r="E151" t="s">
        <v>10</v>
      </c>
      <c r="F151" t="s">
        <v>11</v>
      </c>
      <c r="G151" t="s">
        <v>35</v>
      </c>
      <c r="H151">
        <v>3</v>
      </c>
      <c r="I151" s="4" t="s">
        <v>35</v>
      </c>
      <c r="J151" s="4" t="s">
        <v>194</v>
      </c>
      <c r="K151" t="s">
        <v>22</v>
      </c>
      <c r="L151">
        <v>150</v>
      </c>
      <c r="M151">
        <v>300</v>
      </c>
      <c r="N151">
        <v>250</v>
      </c>
      <c r="O151">
        <v>290</v>
      </c>
      <c r="P151">
        <v>0.8</v>
      </c>
      <c r="Q151">
        <f>3600*2.20462</f>
        <v>7936.6319999999996</v>
      </c>
    </row>
    <row r="152" spans="1:17">
      <c r="A152" t="s">
        <v>90</v>
      </c>
      <c r="B152" t="s">
        <v>10</v>
      </c>
      <c r="C152" t="s">
        <v>93</v>
      </c>
      <c r="D152" t="s">
        <v>2</v>
      </c>
      <c r="E152" t="s">
        <v>10</v>
      </c>
      <c r="F152" t="s">
        <v>11</v>
      </c>
      <c r="G152" t="s">
        <v>116</v>
      </c>
      <c r="H152">
        <v>3</v>
      </c>
      <c r="I152" s="4" t="s">
        <v>193</v>
      </c>
      <c r="J152" s="4" t="s">
        <v>194</v>
      </c>
      <c r="K152" t="s">
        <v>22</v>
      </c>
      <c r="L152">
        <v>150</v>
      </c>
      <c r="M152">
        <v>300</v>
      </c>
      <c r="N152">
        <v>250</v>
      </c>
      <c r="O152">
        <v>290</v>
      </c>
      <c r="P152">
        <v>0.8</v>
      </c>
      <c r="Q152">
        <f>3600*2.20462</f>
        <v>7936.6319999999996</v>
      </c>
    </row>
    <row r="153" spans="1:17">
      <c r="A153" t="s">
        <v>54</v>
      </c>
      <c r="B153" t="s">
        <v>10</v>
      </c>
      <c r="C153" t="s">
        <v>10</v>
      </c>
      <c r="D153" t="s">
        <v>2</v>
      </c>
      <c r="E153" t="s">
        <v>33</v>
      </c>
      <c r="F153" t="s">
        <v>39</v>
      </c>
      <c r="G153" t="s">
        <v>35</v>
      </c>
      <c r="H153">
        <v>3</v>
      </c>
      <c r="I153" s="4" t="s">
        <v>35</v>
      </c>
      <c r="J153" s="4" t="s">
        <v>194</v>
      </c>
      <c r="K153" t="s">
        <v>22</v>
      </c>
      <c r="L153">
        <v>80</v>
      </c>
      <c r="M153">
        <v>280</v>
      </c>
      <c r="N153">
        <v>250</v>
      </c>
      <c r="O153">
        <v>300</v>
      </c>
      <c r="P153">
        <v>0.76</v>
      </c>
    </row>
    <row r="154" spans="1:17">
      <c r="A154" t="s">
        <v>80</v>
      </c>
      <c r="B154" t="s">
        <v>10</v>
      </c>
      <c r="C154" t="s">
        <v>91</v>
      </c>
      <c r="D154" t="s">
        <v>2</v>
      </c>
      <c r="E154" t="s">
        <v>33</v>
      </c>
      <c r="F154" t="s">
        <v>39</v>
      </c>
      <c r="G154" t="s">
        <v>35</v>
      </c>
      <c r="H154">
        <v>3</v>
      </c>
      <c r="I154" s="4" t="s">
        <v>35</v>
      </c>
      <c r="J154" s="4" t="s">
        <v>194</v>
      </c>
      <c r="K154" t="s">
        <v>22</v>
      </c>
      <c r="L154">
        <v>80</v>
      </c>
      <c r="M154">
        <v>280</v>
      </c>
      <c r="N154">
        <v>250</v>
      </c>
      <c r="O154">
        <v>300</v>
      </c>
      <c r="P154">
        <v>0.76</v>
      </c>
    </row>
    <row r="155" spans="1:17">
      <c r="A155" t="s">
        <v>52</v>
      </c>
      <c r="B155" t="s">
        <v>10</v>
      </c>
      <c r="C155" t="s">
        <v>92</v>
      </c>
      <c r="D155" t="s">
        <v>2</v>
      </c>
      <c r="E155" t="s">
        <v>33</v>
      </c>
      <c r="F155" t="s">
        <v>39</v>
      </c>
      <c r="G155" t="s">
        <v>35</v>
      </c>
      <c r="H155">
        <v>3</v>
      </c>
      <c r="I155" s="4" t="s">
        <v>35</v>
      </c>
      <c r="J155" s="4" t="s">
        <v>194</v>
      </c>
      <c r="K155" t="s">
        <v>22</v>
      </c>
      <c r="L155">
        <v>80</v>
      </c>
      <c r="M155">
        <v>280</v>
      </c>
      <c r="N155">
        <v>250</v>
      </c>
      <c r="O155">
        <v>300</v>
      </c>
      <c r="P155">
        <v>0.76</v>
      </c>
    </row>
    <row r="156" spans="1:17">
      <c r="A156" t="s">
        <v>90</v>
      </c>
      <c r="B156" t="s">
        <v>10</v>
      </c>
      <c r="C156" t="s">
        <v>93</v>
      </c>
      <c r="D156" t="s">
        <v>2</v>
      </c>
      <c r="E156" t="s">
        <v>33</v>
      </c>
      <c r="F156" t="s">
        <v>39</v>
      </c>
      <c r="G156">
        <v>3</v>
      </c>
      <c r="H156">
        <v>3</v>
      </c>
      <c r="I156" s="4" t="s">
        <v>193</v>
      </c>
      <c r="J156" s="4" t="s">
        <v>194</v>
      </c>
      <c r="K156" t="s">
        <v>22</v>
      </c>
      <c r="L156">
        <v>80</v>
      </c>
      <c r="M156">
        <v>280</v>
      </c>
      <c r="N156">
        <v>250</v>
      </c>
      <c r="O156">
        <v>300</v>
      </c>
      <c r="P156">
        <v>0.76</v>
      </c>
      <c r="Q156">
        <v>4200</v>
      </c>
    </row>
    <row r="157" spans="1:17">
      <c r="A157" t="s">
        <v>1</v>
      </c>
      <c r="B157" t="s">
        <v>95</v>
      </c>
      <c r="C157" t="s">
        <v>96</v>
      </c>
      <c r="D157" t="s">
        <v>2</v>
      </c>
      <c r="E157" t="s">
        <v>33</v>
      </c>
      <c r="F157" t="s">
        <v>39</v>
      </c>
      <c r="G157" t="s">
        <v>35</v>
      </c>
      <c r="H157">
        <v>3</v>
      </c>
      <c r="I157" s="4" t="s">
        <v>35</v>
      </c>
      <c r="J157" s="4" t="s">
        <v>194</v>
      </c>
      <c r="K157" t="s">
        <v>22</v>
      </c>
      <c r="L157">
        <v>80</v>
      </c>
      <c r="M157">
        <v>280</v>
      </c>
      <c r="N157">
        <v>250</v>
      </c>
      <c r="O157">
        <v>300</v>
      </c>
    </row>
    <row r="158" spans="1:17">
      <c r="A158" t="s">
        <v>94</v>
      </c>
      <c r="B158" t="s">
        <v>97</v>
      </c>
      <c r="C158" t="s">
        <v>96</v>
      </c>
      <c r="D158" t="s">
        <v>2</v>
      </c>
      <c r="E158" t="s">
        <v>33</v>
      </c>
      <c r="F158" t="s">
        <v>39</v>
      </c>
      <c r="G158" t="s">
        <v>35</v>
      </c>
      <c r="H158">
        <v>3</v>
      </c>
      <c r="I158" s="4" t="s">
        <v>35</v>
      </c>
      <c r="J158" s="4" t="s">
        <v>194</v>
      </c>
      <c r="K158" t="s">
        <v>22</v>
      </c>
      <c r="L158">
        <v>80</v>
      </c>
      <c r="M158">
        <v>280</v>
      </c>
      <c r="N158">
        <v>250</v>
      </c>
      <c r="O158">
        <v>300</v>
      </c>
    </row>
    <row r="159" spans="1:17">
      <c r="A159" t="s">
        <v>1</v>
      </c>
      <c r="B159" t="s">
        <v>95</v>
      </c>
      <c r="C159" t="s">
        <v>98</v>
      </c>
      <c r="D159" t="s">
        <v>2</v>
      </c>
      <c r="E159" t="s">
        <v>33</v>
      </c>
      <c r="F159" t="s">
        <v>39</v>
      </c>
      <c r="G159" t="s">
        <v>35</v>
      </c>
      <c r="H159">
        <v>3</v>
      </c>
      <c r="I159" s="4" t="s">
        <v>35</v>
      </c>
      <c r="J159" s="4" t="s">
        <v>194</v>
      </c>
      <c r="K159" t="s">
        <v>22</v>
      </c>
      <c r="L159">
        <v>80</v>
      </c>
      <c r="M159">
        <v>280</v>
      </c>
      <c r="N159">
        <v>250</v>
      </c>
      <c r="O159">
        <v>300</v>
      </c>
    </row>
    <row r="160" spans="1:17">
      <c r="A160" t="s">
        <v>90</v>
      </c>
      <c r="B160" t="s">
        <v>10</v>
      </c>
      <c r="C160" t="s">
        <v>93</v>
      </c>
      <c r="D160" t="s">
        <v>1</v>
      </c>
      <c r="E160" t="s">
        <v>27</v>
      </c>
      <c r="F160" t="s">
        <v>22</v>
      </c>
      <c r="G160">
        <v>3</v>
      </c>
      <c r="H160" t="s">
        <v>35</v>
      </c>
      <c r="I160" s="4" t="s">
        <v>193</v>
      </c>
      <c r="J160" s="4" t="s">
        <v>35</v>
      </c>
      <c r="K160" t="s">
        <v>22</v>
      </c>
      <c r="L160">
        <v>100</v>
      </c>
      <c r="M160">
        <v>270</v>
      </c>
      <c r="N160">
        <v>290</v>
      </c>
      <c r="O160">
        <v>310</v>
      </c>
      <c r="P160">
        <v>0.8</v>
      </c>
      <c r="Q160">
        <v>2000</v>
      </c>
    </row>
    <row r="161" spans="1:18">
      <c r="A161" t="s">
        <v>90</v>
      </c>
      <c r="B161" t="s">
        <v>10</v>
      </c>
      <c r="C161" t="s">
        <v>93</v>
      </c>
      <c r="D161" t="s">
        <v>1</v>
      </c>
      <c r="E161" t="s">
        <v>28</v>
      </c>
      <c r="F161" t="s">
        <v>39</v>
      </c>
      <c r="G161">
        <v>2</v>
      </c>
      <c r="H161" t="s">
        <v>35</v>
      </c>
      <c r="I161" s="4" t="s">
        <v>193</v>
      </c>
      <c r="J161" s="4" t="s">
        <v>135</v>
      </c>
      <c r="K161" t="s">
        <v>22</v>
      </c>
      <c r="L161">
        <v>100</v>
      </c>
      <c r="M161">
        <v>270</v>
      </c>
      <c r="N161">
        <v>250</v>
      </c>
      <c r="O161">
        <v>270</v>
      </c>
      <c r="P161">
        <v>0.76</v>
      </c>
      <c r="Q161">
        <v>4400</v>
      </c>
    </row>
    <row r="162" spans="1:18">
      <c r="A162" t="s">
        <v>90</v>
      </c>
      <c r="B162" t="s">
        <v>10</v>
      </c>
      <c r="C162" t="s">
        <v>93</v>
      </c>
      <c r="D162" t="s">
        <v>117</v>
      </c>
      <c r="E162" t="s">
        <v>30</v>
      </c>
      <c r="F162" t="s">
        <v>41</v>
      </c>
      <c r="G162">
        <v>3</v>
      </c>
      <c r="H162" t="s">
        <v>35</v>
      </c>
      <c r="I162" s="4" t="s">
        <v>193</v>
      </c>
      <c r="J162" s="4" t="s">
        <v>35</v>
      </c>
      <c r="K162" t="s">
        <v>22</v>
      </c>
      <c r="L162">
        <v>80</v>
      </c>
      <c r="M162">
        <v>350</v>
      </c>
      <c r="N162">
        <v>265</v>
      </c>
      <c r="O162">
        <v>315</v>
      </c>
      <c r="P162">
        <v>0.76</v>
      </c>
      <c r="Q162">
        <v>3000</v>
      </c>
      <c r="R162" t="s">
        <v>133</v>
      </c>
    </row>
    <row r="163" spans="1:18">
      <c r="A163" t="s">
        <v>90</v>
      </c>
      <c r="B163" t="s">
        <v>10</v>
      </c>
      <c r="C163" t="s">
        <v>93</v>
      </c>
      <c r="D163" t="s">
        <v>45</v>
      </c>
      <c r="E163" t="s">
        <v>30</v>
      </c>
      <c r="F163" t="s">
        <v>39</v>
      </c>
      <c r="G163">
        <v>3</v>
      </c>
      <c r="H163" t="s">
        <v>35</v>
      </c>
      <c r="I163" s="4" t="s">
        <v>193</v>
      </c>
      <c r="J163" s="4" t="s">
        <v>35</v>
      </c>
      <c r="K163" t="s">
        <v>22</v>
      </c>
      <c r="L163">
        <v>80</v>
      </c>
      <c r="M163">
        <v>350</v>
      </c>
      <c r="N163">
        <v>265</v>
      </c>
      <c r="O163">
        <v>315</v>
      </c>
      <c r="P163">
        <v>0.76</v>
      </c>
      <c r="Q163">
        <v>3000</v>
      </c>
      <c r="R163" t="s">
        <v>133</v>
      </c>
    </row>
    <row r="164" spans="1:18">
      <c r="A164" t="s">
        <v>90</v>
      </c>
      <c r="B164" t="s">
        <v>10</v>
      </c>
      <c r="C164" t="s">
        <v>93</v>
      </c>
      <c r="D164" t="s">
        <v>118</v>
      </c>
      <c r="E164" t="s">
        <v>30</v>
      </c>
      <c r="F164" t="s">
        <v>39</v>
      </c>
      <c r="G164">
        <v>3</v>
      </c>
      <c r="H164" t="s">
        <v>35</v>
      </c>
      <c r="I164" s="4" t="s">
        <v>193</v>
      </c>
      <c r="J164" s="4" t="s">
        <v>35</v>
      </c>
      <c r="K164" t="s">
        <v>22</v>
      </c>
      <c r="L164">
        <v>80</v>
      </c>
      <c r="M164">
        <v>350</v>
      </c>
      <c r="N164">
        <v>265</v>
      </c>
      <c r="O164">
        <v>315</v>
      </c>
      <c r="P164">
        <v>0.76</v>
      </c>
      <c r="Q164">
        <v>3000</v>
      </c>
      <c r="R164" t="s">
        <v>133</v>
      </c>
    </row>
    <row r="165" spans="1:18">
      <c r="A165" t="s">
        <v>90</v>
      </c>
      <c r="B165" t="s">
        <v>10</v>
      </c>
      <c r="C165" t="s">
        <v>93</v>
      </c>
      <c r="D165" t="s">
        <v>47</v>
      </c>
      <c r="E165" t="s">
        <v>30</v>
      </c>
      <c r="F165" t="s">
        <v>39</v>
      </c>
      <c r="G165">
        <v>3</v>
      </c>
      <c r="H165" t="s">
        <v>35</v>
      </c>
      <c r="I165" s="4" t="s">
        <v>193</v>
      </c>
      <c r="J165" s="4" t="s">
        <v>35</v>
      </c>
      <c r="K165" t="s">
        <v>22</v>
      </c>
      <c r="L165">
        <v>80</v>
      </c>
      <c r="M165">
        <v>350</v>
      </c>
      <c r="N165">
        <v>265</v>
      </c>
      <c r="O165">
        <v>315</v>
      </c>
      <c r="P165">
        <v>0.76</v>
      </c>
      <c r="Q165">
        <v>3000</v>
      </c>
      <c r="R165" t="s">
        <v>133</v>
      </c>
    </row>
    <row r="166" spans="1:18">
      <c r="A166" t="s">
        <v>90</v>
      </c>
      <c r="B166" t="s">
        <v>10</v>
      </c>
      <c r="C166" t="s">
        <v>93</v>
      </c>
      <c r="D166" t="s">
        <v>119</v>
      </c>
      <c r="E166" t="s">
        <v>30</v>
      </c>
      <c r="F166" t="s">
        <v>39</v>
      </c>
      <c r="G166">
        <v>3</v>
      </c>
      <c r="H166" t="s">
        <v>35</v>
      </c>
      <c r="I166" s="4" t="s">
        <v>193</v>
      </c>
      <c r="J166" s="4" t="s">
        <v>35</v>
      </c>
      <c r="K166" t="s">
        <v>22</v>
      </c>
      <c r="L166">
        <v>80</v>
      </c>
      <c r="M166">
        <v>350</v>
      </c>
      <c r="N166">
        <v>265</v>
      </c>
      <c r="O166">
        <v>315</v>
      </c>
      <c r="P166">
        <v>0.76</v>
      </c>
      <c r="Q166">
        <v>3000</v>
      </c>
      <c r="R166" t="s">
        <v>133</v>
      </c>
    </row>
    <row r="167" spans="1:18">
      <c r="A167" t="s">
        <v>90</v>
      </c>
      <c r="B167" t="s">
        <v>10</v>
      </c>
      <c r="C167" t="s">
        <v>93</v>
      </c>
      <c r="D167" t="s">
        <v>119</v>
      </c>
      <c r="E167" t="s">
        <v>30</v>
      </c>
      <c r="F167" t="s">
        <v>41</v>
      </c>
      <c r="G167">
        <v>3</v>
      </c>
      <c r="H167" t="s">
        <v>35</v>
      </c>
      <c r="I167" s="4" t="s">
        <v>193</v>
      </c>
      <c r="J167" s="4" t="s">
        <v>35</v>
      </c>
      <c r="K167" t="s">
        <v>22</v>
      </c>
      <c r="L167">
        <v>80</v>
      </c>
      <c r="M167">
        <v>350</v>
      </c>
      <c r="N167">
        <v>265</v>
      </c>
      <c r="O167">
        <v>315</v>
      </c>
      <c r="P167">
        <v>0.76</v>
      </c>
      <c r="Q167">
        <v>3000</v>
      </c>
      <c r="R167" t="s">
        <v>133</v>
      </c>
    </row>
    <row r="168" spans="1:18">
      <c r="A168" t="s">
        <v>90</v>
      </c>
      <c r="B168" t="s">
        <v>10</v>
      </c>
      <c r="C168" t="s">
        <v>93</v>
      </c>
      <c r="D168" t="s">
        <v>120</v>
      </c>
      <c r="E168" t="s">
        <v>30</v>
      </c>
      <c r="F168" t="s">
        <v>41</v>
      </c>
      <c r="G168">
        <v>3</v>
      </c>
      <c r="H168" t="s">
        <v>35</v>
      </c>
      <c r="I168" s="4" t="s">
        <v>193</v>
      </c>
      <c r="J168" s="4" t="s">
        <v>35</v>
      </c>
      <c r="K168" t="s">
        <v>22</v>
      </c>
      <c r="L168">
        <v>80</v>
      </c>
      <c r="M168">
        <v>350</v>
      </c>
      <c r="N168">
        <v>265</v>
      </c>
      <c r="O168">
        <v>315</v>
      </c>
      <c r="P168">
        <v>0.76</v>
      </c>
      <c r="Q168">
        <v>3000</v>
      </c>
      <c r="R168" t="s">
        <v>133</v>
      </c>
    </row>
    <row r="169" spans="1:18">
      <c r="A169" t="s">
        <v>90</v>
      </c>
      <c r="B169" t="s">
        <v>10</v>
      </c>
      <c r="C169" t="s">
        <v>93</v>
      </c>
      <c r="D169" t="s">
        <v>121</v>
      </c>
      <c r="E169" t="s">
        <v>30</v>
      </c>
      <c r="F169" t="s">
        <v>41</v>
      </c>
      <c r="G169">
        <v>3</v>
      </c>
      <c r="H169" t="s">
        <v>35</v>
      </c>
      <c r="I169" s="4" t="s">
        <v>193</v>
      </c>
      <c r="J169" s="4" t="s">
        <v>35</v>
      </c>
      <c r="K169" t="s">
        <v>22</v>
      </c>
      <c r="L169">
        <v>80</v>
      </c>
      <c r="M169">
        <v>350</v>
      </c>
      <c r="N169">
        <v>265</v>
      </c>
      <c r="O169">
        <v>315</v>
      </c>
      <c r="P169">
        <v>0.76</v>
      </c>
      <c r="Q169">
        <v>3000</v>
      </c>
      <c r="R169" t="s">
        <v>133</v>
      </c>
    </row>
    <row r="170" spans="1:18">
      <c r="A170" t="s">
        <v>90</v>
      </c>
      <c r="B170" t="s">
        <v>10</v>
      </c>
      <c r="C170" t="s">
        <v>93</v>
      </c>
      <c r="D170" t="s">
        <v>122</v>
      </c>
      <c r="E170" t="s">
        <v>30</v>
      </c>
      <c r="F170" t="s">
        <v>39</v>
      </c>
      <c r="G170">
        <v>3</v>
      </c>
      <c r="H170" t="s">
        <v>35</v>
      </c>
      <c r="I170" s="4" t="s">
        <v>193</v>
      </c>
      <c r="J170" s="4" t="s">
        <v>35</v>
      </c>
      <c r="K170" t="s">
        <v>22</v>
      </c>
      <c r="L170">
        <v>80</v>
      </c>
      <c r="M170">
        <v>350</v>
      </c>
      <c r="N170">
        <v>265</v>
      </c>
      <c r="O170">
        <v>315</v>
      </c>
      <c r="P170">
        <v>0.76</v>
      </c>
      <c r="Q170">
        <v>3000</v>
      </c>
      <c r="R170" t="s">
        <v>133</v>
      </c>
    </row>
    <row r="171" spans="1:18">
      <c r="A171" t="s">
        <v>90</v>
      </c>
      <c r="B171" t="s">
        <v>10</v>
      </c>
      <c r="C171" t="s">
        <v>93</v>
      </c>
      <c r="D171" t="s">
        <v>122</v>
      </c>
      <c r="E171" t="s">
        <v>30</v>
      </c>
      <c r="F171" t="s">
        <v>41</v>
      </c>
      <c r="G171">
        <v>3</v>
      </c>
      <c r="H171" t="s">
        <v>35</v>
      </c>
      <c r="I171" s="4" t="s">
        <v>193</v>
      </c>
      <c r="J171" s="4" t="s">
        <v>35</v>
      </c>
      <c r="K171" t="s">
        <v>22</v>
      </c>
      <c r="L171">
        <v>80</v>
      </c>
      <c r="M171">
        <v>350</v>
      </c>
      <c r="N171">
        <v>265</v>
      </c>
      <c r="O171">
        <v>315</v>
      </c>
      <c r="P171">
        <v>0.76</v>
      </c>
      <c r="Q171">
        <v>3000</v>
      </c>
      <c r="R171" t="s">
        <v>133</v>
      </c>
    </row>
    <row r="172" spans="1:18">
      <c r="A172" t="s">
        <v>90</v>
      </c>
      <c r="B172" t="s">
        <v>10</v>
      </c>
      <c r="C172" t="s">
        <v>93</v>
      </c>
      <c r="D172" t="s">
        <v>123</v>
      </c>
      <c r="E172" t="s">
        <v>30</v>
      </c>
      <c r="F172" t="s">
        <v>39</v>
      </c>
      <c r="G172">
        <v>3</v>
      </c>
      <c r="H172" t="s">
        <v>35</v>
      </c>
      <c r="I172" s="4" t="s">
        <v>193</v>
      </c>
      <c r="J172" s="4" t="s">
        <v>35</v>
      </c>
      <c r="K172" t="s">
        <v>22</v>
      </c>
      <c r="L172">
        <v>80</v>
      </c>
      <c r="M172">
        <v>350</v>
      </c>
      <c r="N172">
        <v>265</v>
      </c>
      <c r="O172">
        <v>315</v>
      </c>
      <c r="P172">
        <v>0.76</v>
      </c>
      <c r="Q172">
        <v>3000</v>
      </c>
      <c r="R172" t="s">
        <v>133</v>
      </c>
    </row>
    <row r="173" spans="1:18">
      <c r="A173" t="s">
        <v>90</v>
      </c>
      <c r="B173" t="s">
        <v>10</v>
      </c>
      <c r="C173" t="s">
        <v>93</v>
      </c>
      <c r="D173" t="s">
        <v>124</v>
      </c>
      <c r="E173" t="s">
        <v>30</v>
      </c>
      <c r="F173" t="s">
        <v>41</v>
      </c>
      <c r="G173">
        <v>3</v>
      </c>
      <c r="H173" t="s">
        <v>35</v>
      </c>
      <c r="I173" s="4" t="s">
        <v>193</v>
      </c>
      <c r="J173" s="4" t="s">
        <v>35</v>
      </c>
      <c r="K173" t="s">
        <v>22</v>
      </c>
      <c r="L173">
        <v>80</v>
      </c>
      <c r="M173">
        <v>350</v>
      </c>
      <c r="N173">
        <v>265</v>
      </c>
      <c r="O173">
        <v>315</v>
      </c>
      <c r="P173">
        <v>0.76</v>
      </c>
      <c r="Q173">
        <v>3000</v>
      </c>
      <c r="R173" t="s">
        <v>133</v>
      </c>
    </row>
    <row r="174" spans="1:18">
      <c r="A174" t="s">
        <v>90</v>
      </c>
      <c r="B174" t="s">
        <v>10</v>
      </c>
      <c r="C174" t="s">
        <v>93</v>
      </c>
      <c r="D174" t="s">
        <v>125</v>
      </c>
      <c r="E174" t="s">
        <v>30</v>
      </c>
      <c r="F174" t="s">
        <v>41</v>
      </c>
      <c r="G174">
        <v>3</v>
      </c>
      <c r="H174" t="s">
        <v>35</v>
      </c>
      <c r="I174" s="4" t="s">
        <v>193</v>
      </c>
      <c r="J174" s="4" t="s">
        <v>35</v>
      </c>
      <c r="K174" t="s">
        <v>22</v>
      </c>
      <c r="L174">
        <v>80</v>
      </c>
      <c r="M174">
        <v>350</v>
      </c>
      <c r="N174">
        <v>265</v>
      </c>
      <c r="O174">
        <v>315</v>
      </c>
      <c r="P174">
        <v>0.76</v>
      </c>
      <c r="Q174">
        <v>3000</v>
      </c>
      <c r="R174" t="s">
        <v>133</v>
      </c>
    </row>
    <row r="175" spans="1:18">
      <c r="A175" t="s">
        <v>90</v>
      </c>
      <c r="B175" t="s">
        <v>10</v>
      </c>
      <c r="C175" t="s">
        <v>93</v>
      </c>
      <c r="D175" t="s">
        <v>126</v>
      </c>
      <c r="E175" t="s">
        <v>30</v>
      </c>
      <c r="F175" t="s">
        <v>41</v>
      </c>
      <c r="G175">
        <v>3</v>
      </c>
      <c r="H175" t="s">
        <v>35</v>
      </c>
      <c r="I175" s="4" t="s">
        <v>193</v>
      </c>
      <c r="J175" s="4" t="s">
        <v>35</v>
      </c>
      <c r="K175" t="s">
        <v>22</v>
      </c>
      <c r="L175">
        <v>80</v>
      </c>
      <c r="M175">
        <v>350</v>
      </c>
      <c r="N175">
        <v>265</v>
      </c>
      <c r="O175">
        <v>315</v>
      </c>
      <c r="P175">
        <v>0.76</v>
      </c>
      <c r="Q175">
        <v>3000</v>
      </c>
      <c r="R175" t="s">
        <v>133</v>
      </c>
    </row>
    <row r="176" spans="1:18">
      <c r="A176" t="s">
        <v>90</v>
      </c>
      <c r="B176" t="s">
        <v>10</v>
      </c>
      <c r="C176" t="s">
        <v>93</v>
      </c>
      <c r="D176" t="s">
        <v>132</v>
      </c>
      <c r="E176" t="s">
        <v>30</v>
      </c>
      <c r="F176" t="s">
        <v>39</v>
      </c>
      <c r="G176">
        <v>3</v>
      </c>
      <c r="H176" t="s">
        <v>35</v>
      </c>
      <c r="I176" s="4" t="s">
        <v>193</v>
      </c>
      <c r="J176" s="4" t="s">
        <v>35</v>
      </c>
      <c r="K176" t="s">
        <v>22</v>
      </c>
      <c r="L176">
        <v>80</v>
      </c>
      <c r="M176">
        <v>350</v>
      </c>
      <c r="N176">
        <v>265</v>
      </c>
      <c r="O176">
        <v>315</v>
      </c>
      <c r="P176">
        <v>0.76</v>
      </c>
      <c r="Q176">
        <v>3000</v>
      </c>
      <c r="R176" t="s">
        <v>133</v>
      </c>
    </row>
    <row r="177" spans="1:18">
      <c r="A177" t="s">
        <v>90</v>
      </c>
      <c r="B177" t="s">
        <v>10</v>
      </c>
      <c r="C177" t="s">
        <v>93</v>
      </c>
      <c r="D177" t="s">
        <v>132</v>
      </c>
      <c r="E177" t="s">
        <v>30</v>
      </c>
      <c r="F177" t="s">
        <v>41</v>
      </c>
      <c r="G177">
        <v>3</v>
      </c>
      <c r="H177" t="s">
        <v>35</v>
      </c>
      <c r="I177" s="4" t="s">
        <v>193</v>
      </c>
      <c r="J177" s="4" t="s">
        <v>35</v>
      </c>
      <c r="K177" t="s">
        <v>22</v>
      </c>
      <c r="L177">
        <v>80</v>
      </c>
      <c r="M177">
        <v>350</v>
      </c>
      <c r="N177">
        <v>265</v>
      </c>
      <c r="O177">
        <v>315</v>
      </c>
      <c r="P177">
        <v>0.76</v>
      </c>
      <c r="Q177">
        <v>3000</v>
      </c>
      <c r="R177" t="s">
        <v>133</v>
      </c>
    </row>
    <row r="178" spans="1:18">
      <c r="A178" t="s">
        <v>90</v>
      </c>
      <c r="B178" t="s">
        <v>10</v>
      </c>
      <c r="C178" t="s">
        <v>93</v>
      </c>
      <c r="D178" t="s">
        <v>127</v>
      </c>
      <c r="E178" t="s">
        <v>30</v>
      </c>
      <c r="F178" t="s">
        <v>41</v>
      </c>
      <c r="G178">
        <v>3</v>
      </c>
      <c r="H178" t="s">
        <v>35</v>
      </c>
      <c r="I178" s="4" t="s">
        <v>193</v>
      </c>
      <c r="J178" s="4" t="s">
        <v>35</v>
      </c>
      <c r="K178" t="s">
        <v>22</v>
      </c>
      <c r="L178">
        <v>80</v>
      </c>
      <c r="M178">
        <v>350</v>
      </c>
      <c r="N178">
        <v>265</v>
      </c>
      <c r="O178">
        <v>315</v>
      </c>
      <c r="P178">
        <v>0.76</v>
      </c>
      <c r="Q178">
        <v>3000</v>
      </c>
      <c r="R178" t="s">
        <v>133</v>
      </c>
    </row>
    <row r="179" spans="1:18">
      <c r="A179" t="s">
        <v>90</v>
      </c>
      <c r="B179" t="s">
        <v>10</v>
      </c>
      <c r="C179" t="s">
        <v>93</v>
      </c>
      <c r="D179" t="s">
        <v>51</v>
      </c>
      <c r="E179" t="s">
        <v>30</v>
      </c>
      <c r="F179" t="s">
        <v>39</v>
      </c>
      <c r="G179">
        <v>3</v>
      </c>
      <c r="H179" t="s">
        <v>35</v>
      </c>
      <c r="I179" s="4" t="s">
        <v>193</v>
      </c>
      <c r="J179" s="4" t="s">
        <v>35</v>
      </c>
      <c r="K179" t="s">
        <v>22</v>
      </c>
      <c r="L179">
        <v>80</v>
      </c>
      <c r="M179">
        <v>350</v>
      </c>
      <c r="N179">
        <v>265</v>
      </c>
      <c r="O179">
        <v>315</v>
      </c>
      <c r="P179">
        <v>0.76</v>
      </c>
      <c r="Q179">
        <v>3000</v>
      </c>
      <c r="R179" t="s">
        <v>133</v>
      </c>
    </row>
    <row r="180" spans="1:18">
      <c r="A180" t="s">
        <v>90</v>
      </c>
      <c r="B180" t="s">
        <v>10</v>
      </c>
      <c r="C180" t="s">
        <v>93</v>
      </c>
      <c r="D180" t="s">
        <v>128</v>
      </c>
      <c r="E180" t="s">
        <v>30</v>
      </c>
      <c r="F180" t="s">
        <v>39</v>
      </c>
      <c r="G180">
        <v>3</v>
      </c>
      <c r="H180" t="s">
        <v>35</v>
      </c>
      <c r="I180" s="4" t="s">
        <v>193</v>
      </c>
      <c r="J180" s="4" t="s">
        <v>35</v>
      </c>
      <c r="K180" t="s">
        <v>22</v>
      </c>
      <c r="L180">
        <v>80</v>
      </c>
      <c r="M180">
        <v>350</v>
      </c>
      <c r="N180">
        <v>265</v>
      </c>
      <c r="O180">
        <v>315</v>
      </c>
      <c r="P180">
        <v>0.76</v>
      </c>
      <c r="Q180">
        <v>3000</v>
      </c>
      <c r="R180" t="s">
        <v>133</v>
      </c>
    </row>
    <row r="181" spans="1:18">
      <c r="A181" t="s">
        <v>90</v>
      </c>
      <c r="B181" t="s">
        <v>10</v>
      </c>
      <c r="C181" t="s">
        <v>93</v>
      </c>
      <c r="D181" t="s">
        <v>54</v>
      </c>
      <c r="E181" t="s">
        <v>30</v>
      </c>
      <c r="F181" t="s">
        <v>41</v>
      </c>
      <c r="G181">
        <v>3</v>
      </c>
      <c r="H181" t="s">
        <v>35</v>
      </c>
      <c r="I181" s="4" t="s">
        <v>193</v>
      </c>
      <c r="J181" s="4" t="s">
        <v>35</v>
      </c>
      <c r="K181" t="s">
        <v>22</v>
      </c>
      <c r="L181">
        <v>80</v>
      </c>
      <c r="M181">
        <v>350</v>
      </c>
      <c r="N181">
        <v>265</v>
      </c>
      <c r="O181">
        <v>315</v>
      </c>
      <c r="P181">
        <v>0.76</v>
      </c>
      <c r="Q181">
        <v>3000</v>
      </c>
      <c r="R181" t="s">
        <v>133</v>
      </c>
    </row>
    <row r="182" spans="1:18">
      <c r="A182" t="s">
        <v>90</v>
      </c>
      <c r="B182" t="s">
        <v>10</v>
      </c>
      <c r="C182" t="s">
        <v>93</v>
      </c>
      <c r="D182" t="s">
        <v>129</v>
      </c>
      <c r="E182" t="s">
        <v>30</v>
      </c>
      <c r="F182" t="s">
        <v>39</v>
      </c>
      <c r="G182">
        <v>3</v>
      </c>
      <c r="H182" t="s">
        <v>35</v>
      </c>
      <c r="I182" s="4" t="s">
        <v>193</v>
      </c>
      <c r="J182" s="4" t="s">
        <v>35</v>
      </c>
      <c r="K182" t="s">
        <v>22</v>
      </c>
      <c r="L182">
        <v>80</v>
      </c>
      <c r="M182">
        <v>350</v>
      </c>
      <c r="N182">
        <v>265</v>
      </c>
      <c r="O182">
        <v>315</v>
      </c>
      <c r="P182">
        <v>0.76</v>
      </c>
      <c r="Q182">
        <v>3000</v>
      </c>
      <c r="R182" t="s">
        <v>133</v>
      </c>
    </row>
    <row r="183" spans="1:18">
      <c r="A183" t="s">
        <v>90</v>
      </c>
      <c r="B183" t="s">
        <v>10</v>
      </c>
      <c r="C183" t="s">
        <v>93</v>
      </c>
      <c r="D183" t="s">
        <v>55</v>
      </c>
      <c r="E183" t="s">
        <v>30</v>
      </c>
      <c r="F183" t="s">
        <v>39</v>
      </c>
      <c r="G183">
        <v>3</v>
      </c>
      <c r="H183" t="s">
        <v>35</v>
      </c>
      <c r="I183" s="4" t="s">
        <v>193</v>
      </c>
      <c r="J183" s="4" t="s">
        <v>35</v>
      </c>
      <c r="K183" t="s">
        <v>22</v>
      </c>
      <c r="L183">
        <v>80</v>
      </c>
      <c r="M183">
        <v>350</v>
      </c>
      <c r="N183">
        <v>265</v>
      </c>
      <c r="O183">
        <v>315</v>
      </c>
      <c r="P183">
        <v>0.76</v>
      </c>
      <c r="Q183">
        <v>3000</v>
      </c>
      <c r="R183" t="s">
        <v>133</v>
      </c>
    </row>
    <row r="184" spans="1:18">
      <c r="A184" t="s">
        <v>90</v>
      </c>
      <c r="B184" t="s">
        <v>10</v>
      </c>
      <c r="C184" t="s">
        <v>93</v>
      </c>
      <c r="D184" t="s">
        <v>130</v>
      </c>
      <c r="E184" t="s">
        <v>30</v>
      </c>
      <c r="F184" t="s">
        <v>41</v>
      </c>
      <c r="G184">
        <v>3</v>
      </c>
      <c r="H184" t="s">
        <v>35</v>
      </c>
      <c r="I184" s="4" t="s">
        <v>193</v>
      </c>
      <c r="J184" s="4" t="s">
        <v>35</v>
      </c>
      <c r="K184" t="s">
        <v>22</v>
      </c>
      <c r="L184">
        <v>80</v>
      </c>
      <c r="M184">
        <v>350</v>
      </c>
      <c r="N184">
        <v>265</v>
      </c>
      <c r="O184">
        <v>315</v>
      </c>
      <c r="P184">
        <v>0.76</v>
      </c>
      <c r="Q184">
        <v>3000</v>
      </c>
      <c r="R184" t="s">
        <v>133</v>
      </c>
    </row>
    <row r="185" spans="1:18">
      <c r="A185" t="s">
        <v>90</v>
      </c>
      <c r="B185" t="s">
        <v>10</v>
      </c>
      <c r="C185" t="s">
        <v>93</v>
      </c>
      <c r="D185" t="s">
        <v>131</v>
      </c>
      <c r="E185" t="s">
        <v>30</v>
      </c>
      <c r="F185" t="s">
        <v>70</v>
      </c>
      <c r="G185">
        <v>3</v>
      </c>
      <c r="H185" t="s">
        <v>35</v>
      </c>
      <c r="I185" s="4" t="s">
        <v>193</v>
      </c>
      <c r="J185" s="4" t="s">
        <v>35</v>
      </c>
      <c r="K185" t="s">
        <v>22</v>
      </c>
      <c r="L185">
        <v>80</v>
      </c>
      <c r="M185">
        <v>350</v>
      </c>
      <c r="N185">
        <v>265</v>
      </c>
      <c r="O185">
        <v>315</v>
      </c>
      <c r="P185">
        <v>0.76</v>
      </c>
      <c r="Q185">
        <v>3000</v>
      </c>
      <c r="R185" t="s">
        <v>133</v>
      </c>
    </row>
    <row r="186" spans="1:18">
      <c r="A186" t="s">
        <v>90</v>
      </c>
      <c r="B186" t="s">
        <v>10</v>
      </c>
      <c r="C186" t="s">
        <v>93</v>
      </c>
      <c r="D186" t="s">
        <v>1</v>
      </c>
      <c r="E186" t="s">
        <v>30</v>
      </c>
      <c r="F186" t="s">
        <v>41</v>
      </c>
      <c r="G186">
        <v>3</v>
      </c>
      <c r="H186" t="s">
        <v>35</v>
      </c>
      <c r="I186" s="4" t="s">
        <v>193</v>
      </c>
      <c r="J186" s="4" t="s">
        <v>35</v>
      </c>
      <c r="K186" t="s">
        <v>22</v>
      </c>
      <c r="L186">
        <v>80</v>
      </c>
      <c r="M186">
        <v>350</v>
      </c>
      <c r="N186">
        <v>265</v>
      </c>
      <c r="O186">
        <v>315</v>
      </c>
      <c r="P186">
        <v>0.76</v>
      </c>
      <c r="Q186">
        <v>3000</v>
      </c>
      <c r="R186" t="s">
        <v>133</v>
      </c>
    </row>
    <row r="187" spans="1:18">
      <c r="A187" t="s">
        <v>90</v>
      </c>
      <c r="B187" t="s">
        <v>10</v>
      </c>
      <c r="C187" t="s">
        <v>93</v>
      </c>
      <c r="D187" t="s">
        <v>45</v>
      </c>
      <c r="E187" t="s">
        <v>30</v>
      </c>
      <c r="F187" t="s">
        <v>22</v>
      </c>
      <c r="G187">
        <v>3</v>
      </c>
      <c r="H187" t="s">
        <v>35</v>
      </c>
      <c r="I187" s="4" t="s">
        <v>193</v>
      </c>
      <c r="J187" s="4" t="s">
        <v>35</v>
      </c>
      <c r="K187" t="s">
        <v>22</v>
      </c>
      <c r="L187">
        <v>200</v>
      </c>
      <c r="M187">
        <v>350</v>
      </c>
      <c r="N187">
        <v>265</v>
      </c>
      <c r="O187">
        <v>315</v>
      </c>
      <c r="P187">
        <v>0.76</v>
      </c>
      <c r="Q187">
        <v>3000</v>
      </c>
      <c r="R187" t="s">
        <v>133</v>
      </c>
    </row>
    <row r="188" spans="1:18">
      <c r="A188" t="s">
        <v>90</v>
      </c>
      <c r="B188" t="s">
        <v>10</v>
      </c>
      <c r="C188" t="s">
        <v>93</v>
      </c>
      <c r="D188" t="s">
        <v>47</v>
      </c>
      <c r="E188" t="s">
        <v>30</v>
      </c>
      <c r="F188" t="s">
        <v>22</v>
      </c>
      <c r="G188">
        <v>3</v>
      </c>
      <c r="H188" t="s">
        <v>35</v>
      </c>
      <c r="I188" s="4" t="s">
        <v>193</v>
      </c>
      <c r="J188" s="4" t="s">
        <v>35</v>
      </c>
      <c r="K188" t="s">
        <v>22</v>
      </c>
      <c r="L188">
        <v>200</v>
      </c>
      <c r="M188">
        <v>350</v>
      </c>
      <c r="N188">
        <v>265</v>
      </c>
      <c r="O188">
        <v>315</v>
      </c>
      <c r="P188">
        <v>0.76</v>
      </c>
      <c r="Q188">
        <v>3000</v>
      </c>
      <c r="R188" t="s">
        <v>133</v>
      </c>
    </row>
    <row r="189" spans="1:18">
      <c r="A189" t="s">
        <v>90</v>
      </c>
      <c r="B189" t="s">
        <v>10</v>
      </c>
      <c r="C189" t="s">
        <v>93</v>
      </c>
      <c r="D189" t="s">
        <v>120</v>
      </c>
      <c r="E189" t="s">
        <v>30</v>
      </c>
      <c r="F189" t="s">
        <v>23</v>
      </c>
      <c r="G189">
        <v>3</v>
      </c>
      <c r="H189" t="s">
        <v>35</v>
      </c>
      <c r="I189" s="4" t="s">
        <v>193</v>
      </c>
      <c r="J189" s="4" t="s">
        <v>35</v>
      </c>
      <c r="K189" t="s">
        <v>22</v>
      </c>
      <c r="L189">
        <v>200</v>
      </c>
      <c r="M189">
        <v>350</v>
      </c>
      <c r="N189">
        <v>265</v>
      </c>
      <c r="O189">
        <v>315</v>
      </c>
      <c r="P189">
        <v>0.76</v>
      </c>
      <c r="Q189">
        <v>3000</v>
      </c>
      <c r="R189" t="s">
        <v>133</v>
      </c>
    </row>
    <row r="190" spans="1:18">
      <c r="A190" t="s">
        <v>90</v>
      </c>
      <c r="B190" t="s">
        <v>10</v>
      </c>
      <c r="C190" t="s">
        <v>93</v>
      </c>
      <c r="D190" t="s">
        <v>123</v>
      </c>
      <c r="E190" t="s">
        <v>30</v>
      </c>
      <c r="F190" t="s">
        <v>22</v>
      </c>
      <c r="G190">
        <v>3</v>
      </c>
      <c r="H190" t="s">
        <v>35</v>
      </c>
      <c r="I190" s="4" t="s">
        <v>193</v>
      </c>
      <c r="J190" s="4" t="s">
        <v>35</v>
      </c>
      <c r="K190" t="s">
        <v>22</v>
      </c>
      <c r="L190">
        <v>200</v>
      </c>
      <c r="M190">
        <v>350</v>
      </c>
      <c r="N190">
        <v>265</v>
      </c>
      <c r="O190">
        <v>315</v>
      </c>
      <c r="P190">
        <v>0.76</v>
      </c>
      <c r="Q190">
        <v>3000</v>
      </c>
      <c r="R190" t="s">
        <v>133</v>
      </c>
    </row>
    <row r="191" spans="1:18">
      <c r="A191" t="s">
        <v>90</v>
      </c>
      <c r="B191" t="s">
        <v>10</v>
      </c>
      <c r="C191" t="s">
        <v>93</v>
      </c>
      <c r="D191" t="s">
        <v>124</v>
      </c>
      <c r="E191" t="s">
        <v>30</v>
      </c>
      <c r="F191" t="s">
        <v>23</v>
      </c>
      <c r="G191">
        <v>3</v>
      </c>
      <c r="H191" t="s">
        <v>35</v>
      </c>
      <c r="I191" s="4" t="s">
        <v>193</v>
      </c>
      <c r="J191" s="4" t="s">
        <v>35</v>
      </c>
      <c r="K191" t="s">
        <v>22</v>
      </c>
      <c r="L191">
        <v>200</v>
      </c>
      <c r="M191">
        <v>350</v>
      </c>
      <c r="N191">
        <v>265</v>
      </c>
      <c r="O191">
        <v>315</v>
      </c>
      <c r="P191">
        <v>0.76</v>
      </c>
      <c r="Q191">
        <v>3000</v>
      </c>
      <c r="R191" t="s">
        <v>133</v>
      </c>
    </row>
    <row r="192" spans="1:18">
      <c r="A192" t="s">
        <v>90</v>
      </c>
      <c r="B192" t="s">
        <v>10</v>
      </c>
      <c r="C192" t="s">
        <v>93</v>
      </c>
      <c r="D192" t="s">
        <v>51</v>
      </c>
      <c r="E192" t="s">
        <v>30</v>
      </c>
      <c r="F192" t="s">
        <v>22</v>
      </c>
      <c r="G192">
        <v>3</v>
      </c>
      <c r="H192" t="s">
        <v>35</v>
      </c>
      <c r="I192" s="4" t="s">
        <v>193</v>
      </c>
      <c r="J192" s="4" t="s">
        <v>35</v>
      </c>
      <c r="K192" t="s">
        <v>22</v>
      </c>
      <c r="L192">
        <v>200</v>
      </c>
      <c r="M192">
        <v>350</v>
      </c>
      <c r="N192">
        <v>265</v>
      </c>
      <c r="O192">
        <v>315</v>
      </c>
      <c r="P192">
        <v>0.76</v>
      </c>
      <c r="Q192">
        <v>3000</v>
      </c>
      <c r="R192" t="s">
        <v>133</v>
      </c>
    </row>
    <row r="193" spans="1:18">
      <c r="A193" t="s">
        <v>90</v>
      </c>
      <c r="B193" t="s">
        <v>10</v>
      </c>
      <c r="C193" t="s">
        <v>93</v>
      </c>
      <c r="D193" t="s">
        <v>128</v>
      </c>
      <c r="E193" t="s">
        <v>30</v>
      </c>
      <c r="F193" t="s">
        <v>22</v>
      </c>
      <c r="G193">
        <v>3</v>
      </c>
      <c r="H193" t="s">
        <v>35</v>
      </c>
      <c r="I193" s="4" t="s">
        <v>193</v>
      </c>
      <c r="J193" s="4" t="s">
        <v>35</v>
      </c>
      <c r="K193" t="s">
        <v>22</v>
      </c>
      <c r="L193">
        <v>200</v>
      </c>
      <c r="M193">
        <v>350</v>
      </c>
      <c r="N193">
        <v>265</v>
      </c>
      <c r="O193">
        <v>315</v>
      </c>
      <c r="P193">
        <v>0.76</v>
      </c>
      <c r="Q193">
        <v>3000</v>
      </c>
      <c r="R193" t="s">
        <v>133</v>
      </c>
    </row>
    <row r="194" spans="1:18">
      <c r="A194" t="s">
        <v>90</v>
      </c>
      <c r="B194" t="s">
        <v>10</v>
      </c>
      <c r="C194" t="s">
        <v>93</v>
      </c>
      <c r="D194" t="s">
        <v>54</v>
      </c>
      <c r="E194" t="s">
        <v>30</v>
      </c>
      <c r="F194" t="s">
        <v>23</v>
      </c>
      <c r="G194">
        <v>3</v>
      </c>
      <c r="H194" t="s">
        <v>35</v>
      </c>
      <c r="I194" s="4" t="s">
        <v>193</v>
      </c>
      <c r="J194" s="4" t="s">
        <v>35</v>
      </c>
      <c r="K194" t="s">
        <v>22</v>
      </c>
      <c r="L194">
        <v>200</v>
      </c>
      <c r="M194">
        <v>350</v>
      </c>
      <c r="N194">
        <v>265</v>
      </c>
      <c r="O194">
        <v>315</v>
      </c>
      <c r="P194">
        <v>0.76</v>
      </c>
      <c r="Q194">
        <v>3000</v>
      </c>
      <c r="R194" t="s">
        <v>133</v>
      </c>
    </row>
    <row r="195" spans="1:18">
      <c r="A195" t="s">
        <v>90</v>
      </c>
      <c r="B195" t="s">
        <v>10</v>
      </c>
      <c r="C195" t="s">
        <v>93</v>
      </c>
      <c r="D195" t="s">
        <v>130</v>
      </c>
      <c r="E195" t="s">
        <v>30</v>
      </c>
      <c r="F195" t="s">
        <v>23</v>
      </c>
      <c r="G195">
        <v>3</v>
      </c>
      <c r="H195" t="s">
        <v>35</v>
      </c>
      <c r="I195" s="4" t="s">
        <v>193</v>
      </c>
      <c r="J195" s="4" t="s">
        <v>35</v>
      </c>
      <c r="K195" t="s">
        <v>22</v>
      </c>
      <c r="L195">
        <v>200</v>
      </c>
      <c r="M195">
        <v>350</v>
      </c>
      <c r="N195">
        <v>265</v>
      </c>
      <c r="O195">
        <v>315</v>
      </c>
      <c r="P195">
        <v>0.76</v>
      </c>
      <c r="Q195">
        <v>3000</v>
      </c>
      <c r="R195" t="s">
        <v>133</v>
      </c>
    </row>
    <row r="196" spans="1:18">
      <c r="A196" t="s">
        <v>90</v>
      </c>
      <c r="B196" t="s">
        <v>10</v>
      </c>
      <c r="C196" t="s">
        <v>93</v>
      </c>
      <c r="D196" t="s">
        <v>1</v>
      </c>
      <c r="E196" t="s">
        <v>30</v>
      </c>
      <c r="F196" t="s">
        <v>23</v>
      </c>
      <c r="G196">
        <v>3</v>
      </c>
      <c r="H196" t="s">
        <v>35</v>
      </c>
      <c r="I196" s="4" t="s">
        <v>193</v>
      </c>
      <c r="J196" s="4" t="s">
        <v>35</v>
      </c>
      <c r="K196" t="s">
        <v>22</v>
      </c>
      <c r="L196">
        <v>200</v>
      </c>
      <c r="M196">
        <v>350</v>
      </c>
      <c r="N196">
        <v>265</v>
      </c>
      <c r="O196">
        <v>315</v>
      </c>
      <c r="P196">
        <v>0.76</v>
      </c>
      <c r="Q196">
        <v>3000</v>
      </c>
      <c r="R196" t="s">
        <v>133</v>
      </c>
    </row>
    <row r="197" spans="1:18">
      <c r="A197" t="s">
        <v>90</v>
      </c>
      <c r="B197" t="s">
        <v>10</v>
      </c>
      <c r="C197" t="s">
        <v>93</v>
      </c>
      <c r="D197" t="s">
        <v>45</v>
      </c>
      <c r="E197" t="s">
        <v>21</v>
      </c>
      <c r="F197" t="s">
        <v>39</v>
      </c>
      <c r="G197">
        <v>3</v>
      </c>
      <c r="H197" t="s">
        <v>35</v>
      </c>
      <c r="I197" s="4" t="s">
        <v>193</v>
      </c>
      <c r="J197" s="4" t="s">
        <v>35</v>
      </c>
      <c r="K197" t="s">
        <v>22</v>
      </c>
      <c r="L197">
        <v>80</v>
      </c>
      <c r="M197">
        <v>350</v>
      </c>
      <c r="N197">
        <v>265</v>
      </c>
      <c r="O197">
        <v>325</v>
      </c>
      <c r="P197">
        <v>0.84</v>
      </c>
      <c r="Q197">
        <v>2200</v>
      </c>
    </row>
    <row r="198" spans="1:18">
      <c r="A198" t="s">
        <v>90</v>
      </c>
      <c r="B198" t="s">
        <v>10</v>
      </c>
      <c r="C198" t="s">
        <v>93</v>
      </c>
      <c r="D198" t="s">
        <v>47</v>
      </c>
      <c r="E198" t="s">
        <v>21</v>
      </c>
      <c r="F198" t="s">
        <v>39</v>
      </c>
      <c r="G198">
        <v>3</v>
      </c>
      <c r="H198" t="s">
        <v>35</v>
      </c>
      <c r="I198" s="4" t="s">
        <v>193</v>
      </c>
      <c r="J198" s="4" t="s">
        <v>35</v>
      </c>
      <c r="K198" t="s">
        <v>22</v>
      </c>
      <c r="L198">
        <v>80</v>
      </c>
      <c r="M198">
        <v>350</v>
      </c>
      <c r="N198">
        <v>265</v>
      </c>
      <c r="O198">
        <v>325</v>
      </c>
      <c r="P198">
        <v>0.84</v>
      </c>
      <c r="Q198">
        <v>2200</v>
      </c>
    </row>
    <row r="199" spans="1:18">
      <c r="A199" t="s">
        <v>90</v>
      </c>
      <c r="B199" t="s">
        <v>10</v>
      </c>
      <c r="C199" t="s">
        <v>93</v>
      </c>
      <c r="D199" t="s">
        <v>101</v>
      </c>
      <c r="E199" t="s">
        <v>21</v>
      </c>
      <c r="F199" t="s">
        <v>39</v>
      </c>
      <c r="G199">
        <v>3</v>
      </c>
      <c r="H199" t="s">
        <v>35</v>
      </c>
      <c r="I199" s="4" t="s">
        <v>193</v>
      </c>
      <c r="J199" s="4" t="s">
        <v>35</v>
      </c>
      <c r="K199" t="s">
        <v>22</v>
      </c>
      <c r="L199">
        <v>80</v>
      </c>
      <c r="M199">
        <v>350</v>
      </c>
      <c r="N199">
        <v>265</v>
      </c>
      <c r="O199">
        <v>325</v>
      </c>
      <c r="P199">
        <v>0.84</v>
      </c>
      <c r="Q199">
        <v>2200</v>
      </c>
    </row>
    <row r="200" spans="1:18">
      <c r="A200" t="s">
        <v>90</v>
      </c>
      <c r="B200" t="s">
        <v>10</v>
      </c>
      <c r="C200" t="s">
        <v>93</v>
      </c>
      <c r="D200" t="s">
        <v>57</v>
      </c>
      <c r="E200" t="s">
        <v>21</v>
      </c>
      <c r="F200" t="s">
        <v>39</v>
      </c>
      <c r="G200">
        <v>3</v>
      </c>
      <c r="H200" t="s">
        <v>35</v>
      </c>
      <c r="I200" s="4" t="s">
        <v>193</v>
      </c>
      <c r="J200" s="4" t="s">
        <v>35</v>
      </c>
      <c r="K200" t="s">
        <v>22</v>
      </c>
      <c r="L200">
        <v>80</v>
      </c>
      <c r="M200">
        <v>350</v>
      </c>
      <c r="N200">
        <v>265</v>
      </c>
      <c r="O200">
        <v>325</v>
      </c>
      <c r="P200">
        <v>0.84</v>
      </c>
      <c r="Q200">
        <v>2200</v>
      </c>
    </row>
    <row r="201" spans="1:18">
      <c r="A201" t="s">
        <v>90</v>
      </c>
      <c r="B201" t="s">
        <v>10</v>
      </c>
      <c r="C201" t="s">
        <v>93</v>
      </c>
      <c r="D201" t="s">
        <v>134</v>
      </c>
      <c r="E201" t="s">
        <v>21</v>
      </c>
      <c r="F201" t="s">
        <v>39</v>
      </c>
      <c r="G201">
        <v>3</v>
      </c>
      <c r="H201" t="s">
        <v>35</v>
      </c>
      <c r="I201" s="4" t="s">
        <v>193</v>
      </c>
      <c r="J201" s="4" t="s">
        <v>35</v>
      </c>
      <c r="K201" t="s">
        <v>22</v>
      </c>
      <c r="L201">
        <v>80</v>
      </c>
      <c r="M201">
        <v>350</v>
      </c>
      <c r="N201">
        <v>265</v>
      </c>
      <c r="O201">
        <v>325</v>
      </c>
      <c r="P201">
        <v>0.84</v>
      </c>
      <c r="Q201">
        <v>2200</v>
      </c>
    </row>
    <row r="202" spans="1:18">
      <c r="A202" t="s">
        <v>90</v>
      </c>
      <c r="B202" t="s">
        <v>10</v>
      </c>
      <c r="C202" t="s">
        <v>93</v>
      </c>
      <c r="D202" t="s">
        <v>37</v>
      </c>
      <c r="E202" t="s">
        <v>21</v>
      </c>
      <c r="F202" t="s">
        <v>39</v>
      </c>
      <c r="G202">
        <v>3</v>
      </c>
      <c r="H202" t="s">
        <v>35</v>
      </c>
      <c r="I202" s="4" t="s">
        <v>193</v>
      </c>
      <c r="J202" s="4" t="s">
        <v>35</v>
      </c>
      <c r="K202" t="s">
        <v>22</v>
      </c>
      <c r="L202">
        <v>80</v>
      </c>
      <c r="M202">
        <v>350</v>
      </c>
      <c r="N202">
        <v>265</v>
      </c>
      <c r="O202">
        <v>325</v>
      </c>
      <c r="P202">
        <v>0.84</v>
      </c>
      <c r="Q202">
        <v>2200</v>
      </c>
    </row>
    <row r="203" spans="1:18">
      <c r="A203" t="s">
        <v>90</v>
      </c>
      <c r="B203" t="s">
        <v>10</v>
      </c>
      <c r="C203" t="s">
        <v>93</v>
      </c>
      <c r="D203" t="s">
        <v>1</v>
      </c>
      <c r="E203" t="s">
        <v>21</v>
      </c>
      <c r="F203" t="s">
        <v>39</v>
      </c>
      <c r="G203">
        <v>3</v>
      </c>
      <c r="H203" t="s">
        <v>35</v>
      </c>
      <c r="I203" s="4" t="s">
        <v>193</v>
      </c>
      <c r="J203" s="4" t="s">
        <v>35</v>
      </c>
      <c r="K203" t="s">
        <v>22</v>
      </c>
      <c r="L203">
        <v>80</v>
      </c>
      <c r="M203">
        <v>350</v>
      </c>
      <c r="N203">
        <v>265</v>
      </c>
      <c r="O203">
        <v>325</v>
      </c>
      <c r="P203">
        <v>0.84</v>
      </c>
      <c r="Q203">
        <v>2200</v>
      </c>
    </row>
    <row r="204" spans="1:18">
      <c r="A204" t="s">
        <v>90</v>
      </c>
      <c r="B204" t="s">
        <v>10</v>
      </c>
      <c r="C204" t="s">
        <v>93</v>
      </c>
      <c r="D204" t="s">
        <v>101</v>
      </c>
      <c r="E204" t="s">
        <v>21</v>
      </c>
      <c r="F204" t="s">
        <v>22</v>
      </c>
      <c r="G204">
        <v>3</v>
      </c>
      <c r="H204" t="s">
        <v>35</v>
      </c>
      <c r="I204" s="4" t="s">
        <v>193</v>
      </c>
      <c r="J204" s="4" t="s">
        <v>35</v>
      </c>
      <c r="K204" t="s">
        <v>60</v>
      </c>
      <c r="L204">
        <v>150</v>
      </c>
      <c r="M204">
        <v>350</v>
      </c>
      <c r="N204">
        <v>260</v>
      </c>
      <c r="O204">
        <v>300</v>
      </c>
      <c r="P204">
        <v>0.86</v>
      </c>
      <c r="Q204">
        <v>1984</v>
      </c>
    </row>
    <row r="205" spans="1:18">
      <c r="A205" t="s">
        <v>90</v>
      </c>
      <c r="B205" t="s">
        <v>10</v>
      </c>
      <c r="C205" t="s">
        <v>93</v>
      </c>
      <c r="D205" t="s">
        <v>37</v>
      </c>
      <c r="E205" t="s">
        <v>21</v>
      </c>
      <c r="F205" t="s">
        <v>22</v>
      </c>
      <c r="G205">
        <v>3</v>
      </c>
      <c r="H205" t="s">
        <v>35</v>
      </c>
      <c r="I205" s="4" t="s">
        <v>193</v>
      </c>
      <c r="J205" s="4" t="s">
        <v>35</v>
      </c>
      <c r="K205" t="s">
        <v>60</v>
      </c>
      <c r="L205">
        <v>150</v>
      </c>
      <c r="M205">
        <v>350</v>
      </c>
      <c r="N205">
        <v>260</v>
      </c>
      <c r="O205">
        <v>300</v>
      </c>
      <c r="P205">
        <v>0.86</v>
      </c>
      <c r="Q205">
        <v>1984</v>
      </c>
    </row>
    <row r="206" spans="1:18">
      <c r="A206" t="s">
        <v>90</v>
      </c>
      <c r="B206" t="s">
        <v>10</v>
      </c>
      <c r="C206" t="s">
        <v>93</v>
      </c>
      <c r="D206" t="s">
        <v>192</v>
      </c>
      <c r="E206" t="s">
        <v>21</v>
      </c>
      <c r="F206" t="s">
        <v>22</v>
      </c>
      <c r="G206">
        <v>3</v>
      </c>
      <c r="H206" t="s">
        <v>35</v>
      </c>
      <c r="I206" s="4" t="s">
        <v>193</v>
      </c>
      <c r="J206" s="4" t="s">
        <v>35</v>
      </c>
      <c r="K206" t="s">
        <v>60</v>
      </c>
      <c r="L206">
        <v>150</v>
      </c>
      <c r="M206">
        <v>350</v>
      </c>
      <c r="N206">
        <v>260</v>
      </c>
      <c r="O206">
        <v>300</v>
      </c>
      <c r="P206">
        <v>0.86</v>
      </c>
      <c r="Q206">
        <v>1984</v>
      </c>
    </row>
    <row r="207" spans="1:18">
      <c r="A207" t="s">
        <v>90</v>
      </c>
      <c r="B207" t="s">
        <v>10</v>
      </c>
      <c r="C207" t="s">
        <v>93</v>
      </c>
      <c r="D207" t="s">
        <v>1</v>
      </c>
      <c r="E207" t="s">
        <v>21</v>
      </c>
      <c r="F207" t="s">
        <v>22</v>
      </c>
      <c r="G207">
        <v>3</v>
      </c>
      <c r="H207" t="s">
        <v>35</v>
      </c>
      <c r="I207" s="4" t="s">
        <v>193</v>
      </c>
      <c r="J207" s="4" t="s">
        <v>135</v>
      </c>
      <c r="K207" t="s">
        <v>60</v>
      </c>
      <c r="L207">
        <v>150</v>
      </c>
      <c r="M207">
        <v>350</v>
      </c>
      <c r="N207">
        <v>260</v>
      </c>
      <c r="O207">
        <v>300</v>
      </c>
      <c r="P207">
        <v>0.86</v>
      </c>
      <c r="Q207">
        <v>1984</v>
      </c>
    </row>
    <row r="208" spans="1:18">
      <c r="A208" t="s">
        <v>90</v>
      </c>
      <c r="B208" t="s">
        <v>10</v>
      </c>
      <c r="C208" t="s">
        <v>93</v>
      </c>
      <c r="D208" t="s">
        <v>1</v>
      </c>
      <c r="E208" t="s">
        <v>21</v>
      </c>
      <c r="F208" t="s">
        <v>41</v>
      </c>
      <c r="G208">
        <v>3</v>
      </c>
      <c r="H208" t="s">
        <v>35</v>
      </c>
      <c r="I208" s="4" t="s">
        <v>193</v>
      </c>
      <c r="J208" s="4" t="s">
        <v>135</v>
      </c>
      <c r="K208" t="s">
        <v>60</v>
      </c>
      <c r="L208">
        <v>150</v>
      </c>
      <c r="M208">
        <v>350</v>
      </c>
      <c r="N208">
        <v>260</v>
      </c>
      <c r="O208">
        <v>300</v>
      </c>
      <c r="P208">
        <v>0.86</v>
      </c>
      <c r="Q208">
        <v>1984</v>
      </c>
    </row>
    <row r="209" spans="1:17">
      <c r="A209" t="s">
        <v>90</v>
      </c>
      <c r="B209" t="s">
        <v>10</v>
      </c>
      <c r="C209" t="s">
        <v>93</v>
      </c>
      <c r="D209" t="s">
        <v>1</v>
      </c>
      <c r="E209" t="s">
        <v>31</v>
      </c>
      <c r="F209" t="s">
        <v>39</v>
      </c>
      <c r="G209">
        <v>3</v>
      </c>
      <c r="H209" s="6" t="s">
        <v>35</v>
      </c>
      <c r="I209" s="4" t="s">
        <v>193</v>
      </c>
      <c r="J209" s="4" t="s">
        <v>135</v>
      </c>
      <c r="K209" t="s">
        <v>22</v>
      </c>
      <c r="L209">
        <v>80</v>
      </c>
      <c r="M209">
        <v>350</v>
      </c>
      <c r="N209">
        <v>270</v>
      </c>
      <c r="O209">
        <v>315</v>
      </c>
      <c r="P209">
        <v>0.82</v>
      </c>
      <c r="Q209">
        <v>3000</v>
      </c>
    </row>
    <row r="210" spans="1:17">
      <c r="A210" t="s">
        <v>90</v>
      </c>
      <c r="B210" t="s">
        <v>10</v>
      </c>
      <c r="C210" t="s">
        <v>93</v>
      </c>
      <c r="D210" t="s">
        <v>1</v>
      </c>
      <c r="E210" t="s">
        <v>26</v>
      </c>
      <c r="F210" t="s">
        <v>41</v>
      </c>
      <c r="G210">
        <v>2</v>
      </c>
      <c r="H210" t="s">
        <v>35</v>
      </c>
      <c r="I210" s="4" t="s">
        <v>193</v>
      </c>
      <c r="J210" s="4" t="s">
        <v>135</v>
      </c>
      <c r="K210" t="s">
        <v>22</v>
      </c>
      <c r="L210">
        <v>100</v>
      </c>
      <c r="M210">
        <v>180</v>
      </c>
      <c r="N210">
        <v>200</v>
      </c>
      <c r="O210">
        <v>220</v>
      </c>
      <c r="P210">
        <v>0.55000000000000004</v>
      </c>
      <c r="Q210">
        <v>3000</v>
      </c>
    </row>
    <row r="211" spans="1:17">
      <c r="A211" t="s">
        <v>90</v>
      </c>
      <c r="B211" t="s">
        <v>10</v>
      </c>
      <c r="C211" t="s">
        <v>93</v>
      </c>
      <c r="D211" t="s">
        <v>66</v>
      </c>
      <c r="E211" t="s">
        <v>0</v>
      </c>
      <c r="F211" t="s">
        <v>39</v>
      </c>
      <c r="G211">
        <v>2</v>
      </c>
      <c r="H211" t="s">
        <v>35</v>
      </c>
      <c r="I211" s="4" t="s">
        <v>193</v>
      </c>
      <c r="J211" s="4" t="s">
        <v>35</v>
      </c>
      <c r="K211" t="s">
        <v>22</v>
      </c>
      <c r="L211">
        <v>150</v>
      </c>
      <c r="M211">
        <v>280</v>
      </c>
      <c r="N211">
        <v>265</v>
      </c>
      <c r="O211">
        <v>285</v>
      </c>
      <c r="P211">
        <v>0.8</v>
      </c>
      <c r="Q211">
        <v>7500</v>
      </c>
    </row>
    <row r="212" spans="1:17">
      <c r="A212" t="s">
        <v>90</v>
      </c>
      <c r="B212" t="s">
        <v>10</v>
      </c>
      <c r="C212" t="s">
        <v>93</v>
      </c>
      <c r="D212" t="s">
        <v>34</v>
      </c>
      <c r="E212" t="s">
        <v>0</v>
      </c>
      <c r="F212" t="s">
        <v>39</v>
      </c>
      <c r="G212">
        <v>2</v>
      </c>
      <c r="H212" t="s">
        <v>35</v>
      </c>
      <c r="I212" s="4" t="s">
        <v>193</v>
      </c>
      <c r="J212" s="4" t="s">
        <v>35</v>
      </c>
      <c r="K212" t="s">
        <v>22</v>
      </c>
      <c r="L212">
        <v>150</v>
      </c>
      <c r="M212">
        <v>280</v>
      </c>
      <c r="N212">
        <v>265</v>
      </c>
      <c r="O212">
        <v>285</v>
      </c>
      <c r="P212">
        <v>0.8</v>
      </c>
      <c r="Q212">
        <v>7500</v>
      </c>
    </row>
    <row r="213" spans="1:17">
      <c r="A213" t="s">
        <v>90</v>
      </c>
      <c r="B213" t="s">
        <v>10</v>
      </c>
      <c r="C213" t="s">
        <v>93</v>
      </c>
      <c r="D213" t="s">
        <v>165</v>
      </c>
      <c r="E213" t="s">
        <v>0</v>
      </c>
      <c r="F213" t="s">
        <v>39</v>
      </c>
      <c r="G213">
        <v>2</v>
      </c>
      <c r="H213" t="s">
        <v>35</v>
      </c>
      <c r="I213" s="4" t="s">
        <v>193</v>
      </c>
      <c r="J213" s="4" t="s">
        <v>35</v>
      </c>
      <c r="K213" t="s">
        <v>22</v>
      </c>
      <c r="L213">
        <v>150</v>
      </c>
      <c r="M213">
        <v>280</v>
      </c>
      <c r="N213">
        <v>265</v>
      </c>
      <c r="O213">
        <v>285</v>
      </c>
      <c r="P213">
        <v>0.8</v>
      </c>
      <c r="Q213">
        <v>7500</v>
      </c>
    </row>
    <row r="214" spans="1:17">
      <c r="A214" t="s">
        <v>90</v>
      </c>
      <c r="B214" t="s">
        <v>10</v>
      </c>
      <c r="C214" t="s">
        <v>93</v>
      </c>
      <c r="D214" t="s">
        <v>192</v>
      </c>
      <c r="E214" t="s">
        <v>0</v>
      </c>
      <c r="F214" t="s">
        <v>39</v>
      </c>
      <c r="G214">
        <v>2</v>
      </c>
      <c r="H214" t="s">
        <v>35</v>
      </c>
      <c r="I214" s="4" t="s">
        <v>193</v>
      </c>
      <c r="J214" s="4" t="s">
        <v>35</v>
      </c>
      <c r="K214" t="s">
        <v>22</v>
      </c>
      <c r="L214">
        <v>150</v>
      </c>
      <c r="M214">
        <v>280</v>
      </c>
      <c r="N214">
        <v>265</v>
      </c>
      <c r="O214">
        <v>285</v>
      </c>
      <c r="P214">
        <v>0.8</v>
      </c>
      <c r="Q214">
        <v>7500</v>
      </c>
    </row>
    <row r="215" spans="1:17">
      <c r="A215" t="s">
        <v>90</v>
      </c>
      <c r="B215" t="s">
        <v>10</v>
      </c>
      <c r="C215" t="s">
        <v>93</v>
      </c>
      <c r="D215" t="s">
        <v>1</v>
      </c>
      <c r="E215" t="s">
        <v>0</v>
      </c>
      <c r="F215" t="s">
        <v>39</v>
      </c>
      <c r="G215">
        <v>2</v>
      </c>
      <c r="H215">
        <v>2</v>
      </c>
      <c r="I215" s="4" t="s">
        <v>193</v>
      </c>
      <c r="J215" s="4" t="s">
        <v>135</v>
      </c>
      <c r="K215" t="s">
        <v>22</v>
      </c>
      <c r="L215">
        <v>150</v>
      </c>
      <c r="M215">
        <v>280</v>
      </c>
      <c r="N215">
        <v>265</v>
      </c>
      <c r="O215">
        <v>285</v>
      </c>
      <c r="P215">
        <v>0.8</v>
      </c>
      <c r="Q215">
        <v>7500</v>
      </c>
    </row>
    <row r="216" spans="1:17">
      <c r="A216" t="s">
        <v>90</v>
      </c>
      <c r="B216" t="s">
        <v>10</v>
      </c>
      <c r="C216" t="s">
        <v>93</v>
      </c>
      <c r="D216" t="s">
        <v>1</v>
      </c>
      <c r="E216" t="s">
        <v>29</v>
      </c>
      <c r="F216" t="s">
        <v>61</v>
      </c>
      <c r="G216">
        <v>2</v>
      </c>
      <c r="H216">
        <v>2</v>
      </c>
      <c r="I216" s="4" t="s">
        <v>193</v>
      </c>
      <c r="J216" s="4" t="s">
        <v>135</v>
      </c>
      <c r="K216" t="s">
        <v>22</v>
      </c>
      <c r="L216">
        <v>150</v>
      </c>
      <c r="M216">
        <v>300</v>
      </c>
      <c r="N216">
        <v>250</v>
      </c>
      <c r="O216">
        <v>290</v>
      </c>
      <c r="P216">
        <v>0.8</v>
      </c>
      <c r="Q216">
        <v>6300</v>
      </c>
    </row>
    <row r="217" spans="1:17">
      <c r="A217" t="s">
        <v>90</v>
      </c>
      <c r="B217" t="s">
        <v>10</v>
      </c>
      <c r="C217" t="s">
        <v>93</v>
      </c>
      <c r="D217" t="s">
        <v>34</v>
      </c>
      <c r="E217" t="s">
        <v>151</v>
      </c>
      <c r="F217" t="s">
        <v>39</v>
      </c>
      <c r="G217">
        <v>2</v>
      </c>
      <c r="H217" t="s">
        <v>116</v>
      </c>
      <c r="I217" s="4" t="s">
        <v>193</v>
      </c>
      <c r="J217" s="4" t="s">
        <v>116</v>
      </c>
      <c r="K217" t="s">
        <v>22</v>
      </c>
      <c r="L217">
        <v>100</v>
      </c>
      <c r="M217">
        <v>290</v>
      </c>
      <c r="N217">
        <v>260</v>
      </c>
      <c r="O217">
        <v>280</v>
      </c>
      <c r="P217">
        <v>0.78</v>
      </c>
      <c r="Q217">
        <v>5500</v>
      </c>
    </row>
    <row r="218" spans="1:17">
      <c r="A218" t="s">
        <v>90</v>
      </c>
      <c r="B218" t="s">
        <v>10</v>
      </c>
      <c r="C218" t="s">
        <v>93</v>
      </c>
      <c r="D218" t="s">
        <v>124</v>
      </c>
      <c r="E218" t="s">
        <v>33</v>
      </c>
      <c r="F218" t="s">
        <v>39</v>
      </c>
      <c r="G218">
        <v>3</v>
      </c>
      <c r="H218" t="s">
        <v>35</v>
      </c>
      <c r="I218" s="4" t="s">
        <v>193</v>
      </c>
      <c r="J218" s="4" t="s">
        <v>35</v>
      </c>
      <c r="K218" t="s">
        <v>22</v>
      </c>
      <c r="L218">
        <v>80</v>
      </c>
      <c r="M218">
        <v>280</v>
      </c>
      <c r="N218">
        <v>250</v>
      </c>
      <c r="O218">
        <v>300</v>
      </c>
      <c r="P218">
        <v>0.76</v>
      </c>
      <c r="Q218">
        <v>4200</v>
      </c>
    </row>
    <row r="219" spans="1:17">
      <c r="A219" t="s">
        <v>90</v>
      </c>
      <c r="B219" t="s">
        <v>10</v>
      </c>
      <c r="C219" t="s">
        <v>93</v>
      </c>
      <c r="D219" t="s">
        <v>57</v>
      </c>
      <c r="E219" t="s">
        <v>33</v>
      </c>
      <c r="F219" t="s">
        <v>39</v>
      </c>
      <c r="G219">
        <v>3</v>
      </c>
      <c r="H219" t="s">
        <v>35</v>
      </c>
      <c r="I219" s="4" t="s">
        <v>193</v>
      </c>
      <c r="J219" s="4" t="s">
        <v>35</v>
      </c>
      <c r="K219" t="s">
        <v>22</v>
      </c>
      <c r="L219">
        <v>80</v>
      </c>
      <c r="M219">
        <v>280</v>
      </c>
      <c r="N219">
        <v>250</v>
      </c>
      <c r="O219">
        <v>300</v>
      </c>
      <c r="P219">
        <v>0.76</v>
      </c>
      <c r="Q219">
        <v>4200</v>
      </c>
    </row>
    <row r="220" spans="1:17">
      <c r="A220" t="s">
        <v>90</v>
      </c>
      <c r="B220" t="s">
        <v>10</v>
      </c>
      <c r="C220" t="s">
        <v>93</v>
      </c>
      <c r="D220" t="s">
        <v>169</v>
      </c>
      <c r="E220" t="s">
        <v>33</v>
      </c>
      <c r="F220" t="s">
        <v>39</v>
      </c>
      <c r="G220">
        <v>3</v>
      </c>
      <c r="H220" t="s">
        <v>35</v>
      </c>
      <c r="I220" s="4" t="s">
        <v>193</v>
      </c>
      <c r="J220" s="4" t="s">
        <v>35</v>
      </c>
      <c r="K220" t="s">
        <v>22</v>
      </c>
      <c r="L220">
        <v>80</v>
      </c>
      <c r="M220">
        <v>280</v>
      </c>
      <c r="N220">
        <v>250</v>
      </c>
      <c r="O220">
        <v>300</v>
      </c>
      <c r="P220">
        <v>0.76</v>
      </c>
      <c r="Q220">
        <v>4200</v>
      </c>
    </row>
    <row r="221" spans="1:17">
      <c r="A221" t="s">
        <v>90</v>
      </c>
      <c r="B221" t="s">
        <v>10</v>
      </c>
      <c r="C221" t="s">
        <v>93</v>
      </c>
      <c r="D221" t="s">
        <v>192</v>
      </c>
      <c r="E221" t="s">
        <v>33</v>
      </c>
      <c r="F221" t="s">
        <v>39</v>
      </c>
      <c r="G221">
        <v>3</v>
      </c>
      <c r="H221" t="s">
        <v>35</v>
      </c>
      <c r="I221" s="4" t="s">
        <v>193</v>
      </c>
      <c r="J221" s="4" t="s">
        <v>35</v>
      </c>
      <c r="K221" t="s">
        <v>22</v>
      </c>
      <c r="L221">
        <v>80</v>
      </c>
      <c r="M221">
        <v>280</v>
      </c>
      <c r="N221">
        <v>250</v>
      </c>
      <c r="O221">
        <v>300</v>
      </c>
      <c r="P221">
        <v>0.76</v>
      </c>
      <c r="Q221">
        <v>4200</v>
      </c>
    </row>
    <row r="222" spans="1:17">
      <c r="A222" t="s">
        <v>90</v>
      </c>
      <c r="B222" t="s">
        <v>10</v>
      </c>
      <c r="C222" t="s">
        <v>93</v>
      </c>
      <c r="D222" t="s">
        <v>1</v>
      </c>
      <c r="E222" t="s">
        <v>33</v>
      </c>
      <c r="F222" t="s">
        <v>39</v>
      </c>
      <c r="G222">
        <v>3</v>
      </c>
      <c r="H222">
        <v>3</v>
      </c>
      <c r="I222" s="4" t="s">
        <v>193</v>
      </c>
      <c r="J222" s="4" t="s">
        <v>135</v>
      </c>
      <c r="K222" t="s">
        <v>22</v>
      </c>
      <c r="L222">
        <v>80</v>
      </c>
      <c r="M222">
        <v>280</v>
      </c>
      <c r="N222">
        <v>250</v>
      </c>
      <c r="O222">
        <v>300</v>
      </c>
      <c r="P222">
        <v>0.76</v>
      </c>
      <c r="Q222">
        <v>4200</v>
      </c>
    </row>
    <row r="223" spans="1:17">
      <c r="A223" t="s">
        <v>90</v>
      </c>
      <c r="B223" t="s">
        <v>10</v>
      </c>
      <c r="C223" t="s">
        <v>93</v>
      </c>
      <c r="D223" t="s">
        <v>130</v>
      </c>
      <c r="E223" t="s">
        <v>19</v>
      </c>
      <c r="F223" t="s">
        <v>98</v>
      </c>
      <c r="G223">
        <v>2</v>
      </c>
      <c r="H223" t="s">
        <v>35</v>
      </c>
      <c r="I223" s="4" t="s">
        <v>193</v>
      </c>
      <c r="J223" s="4" t="s">
        <v>35</v>
      </c>
      <c r="K223" t="s">
        <v>22</v>
      </c>
      <c r="L223">
        <v>200</v>
      </c>
      <c r="M223">
        <v>300</v>
      </c>
      <c r="N223">
        <v>250</v>
      </c>
      <c r="O223">
        <v>290</v>
      </c>
      <c r="P223">
        <v>0.72</v>
      </c>
      <c r="Q223">
        <v>4200</v>
      </c>
    </row>
    <row r="224" spans="1:17">
      <c r="A224" t="s">
        <v>90</v>
      </c>
      <c r="B224" t="s">
        <v>10</v>
      </c>
      <c r="C224" t="s">
        <v>93</v>
      </c>
      <c r="D224" t="s">
        <v>101</v>
      </c>
      <c r="E224" t="s">
        <v>170</v>
      </c>
      <c r="F224" t="s">
        <v>22</v>
      </c>
      <c r="G224">
        <v>3</v>
      </c>
      <c r="H224" t="s">
        <v>35</v>
      </c>
      <c r="I224" s="4" t="s">
        <v>193</v>
      </c>
      <c r="J224" s="4" t="s">
        <v>35</v>
      </c>
      <c r="K224" t="s">
        <v>60</v>
      </c>
      <c r="L224">
        <v>150</v>
      </c>
      <c r="M224">
        <v>350</v>
      </c>
      <c r="N224">
        <v>260</v>
      </c>
      <c r="O224">
        <v>300</v>
      </c>
      <c r="P224">
        <v>0.77</v>
      </c>
      <c r="Q224">
        <f>2.2046*500</f>
        <v>1102.3</v>
      </c>
    </row>
    <row r="225" spans="1:17">
      <c r="A225" t="s">
        <v>90</v>
      </c>
      <c r="B225" t="s">
        <v>10</v>
      </c>
      <c r="C225" t="s">
        <v>93</v>
      </c>
      <c r="D225" t="s">
        <v>69</v>
      </c>
      <c r="E225" t="s">
        <v>170</v>
      </c>
      <c r="F225" t="s">
        <v>22</v>
      </c>
      <c r="G225">
        <v>3</v>
      </c>
      <c r="H225">
        <v>2</v>
      </c>
      <c r="I225" s="4" t="s">
        <v>193</v>
      </c>
      <c r="J225" s="4" t="s">
        <v>182</v>
      </c>
      <c r="K225" t="s">
        <v>60</v>
      </c>
      <c r="L225">
        <v>150</v>
      </c>
      <c r="M225">
        <v>350</v>
      </c>
      <c r="N225">
        <v>260</v>
      </c>
      <c r="O225">
        <v>300</v>
      </c>
      <c r="P225">
        <v>0.77</v>
      </c>
      <c r="Q225">
        <f>2.2046*500</f>
        <v>1102.3</v>
      </c>
    </row>
    <row r="226" spans="1:17">
      <c r="A226" t="s">
        <v>90</v>
      </c>
      <c r="B226" t="s">
        <v>10</v>
      </c>
      <c r="C226" t="s">
        <v>93</v>
      </c>
      <c r="D226" t="s">
        <v>1</v>
      </c>
      <c r="E226" t="s">
        <v>170</v>
      </c>
      <c r="F226" t="s">
        <v>22</v>
      </c>
      <c r="G226">
        <v>3</v>
      </c>
      <c r="H226">
        <v>3</v>
      </c>
      <c r="I226" s="4" t="s">
        <v>193</v>
      </c>
      <c r="J226" s="4" t="s">
        <v>135</v>
      </c>
      <c r="K226" t="s">
        <v>60</v>
      </c>
      <c r="L226">
        <v>150</v>
      </c>
      <c r="M226">
        <v>350</v>
      </c>
      <c r="N226">
        <v>260</v>
      </c>
      <c r="O226">
        <v>300</v>
      </c>
      <c r="P226">
        <v>0.77</v>
      </c>
      <c r="Q226">
        <f>2.2046*500</f>
        <v>1102.3</v>
      </c>
    </row>
    <row r="227" spans="1:17">
      <c r="A227" t="s">
        <v>90</v>
      </c>
      <c r="B227" t="s">
        <v>10</v>
      </c>
      <c r="C227" t="s">
        <v>93</v>
      </c>
      <c r="D227" t="s">
        <v>76</v>
      </c>
      <c r="E227" t="s">
        <v>171</v>
      </c>
      <c r="F227" t="s">
        <v>178</v>
      </c>
      <c r="G227">
        <v>3</v>
      </c>
      <c r="H227" t="s">
        <v>35</v>
      </c>
      <c r="I227" s="4" t="s">
        <v>193</v>
      </c>
      <c r="J227" s="4" t="s">
        <v>35</v>
      </c>
      <c r="K227" t="s">
        <v>60</v>
      </c>
      <c r="L227">
        <v>20</v>
      </c>
      <c r="M227">
        <v>250</v>
      </c>
      <c r="N227">
        <v>260</v>
      </c>
      <c r="O227">
        <v>300</v>
      </c>
      <c r="P227">
        <v>0.77</v>
      </c>
      <c r="Q227">
        <f t="shared" ref="Q227:Q232" si="8">2.2046*1200</f>
        <v>2645.52</v>
      </c>
    </row>
    <row r="228" spans="1:17">
      <c r="A228" t="s">
        <v>90</v>
      </c>
      <c r="B228" t="s">
        <v>10</v>
      </c>
      <c r="C228" t="s">
        <v>93</v>
      </c>
      <c r="D228" t="s">
        <v>76</v>
      </c>
      <c r="E228" t="s">
        <v>171</v>
      </c>
      <c r="F228" t="s">
        <v>177</v>
      </c>
      <c r="G228">
        <v>3</v>
      </c>
      <c r="H228" t="s">
        <v>35</v>
      </c>
      <c r="I228" s="4" t="s">
        <v>193</v>
      </c>
      <c r="J228" s="4" t="s">
        <v>35</v>
      </c>
      <c r="K228" t="s">
        <v>60</v>
      </c>
      <c r="L228">
        <v>20</v>
      </c>
      <c r="M228">
        <v>250</v>
      </c>
      <c r="N228">
        <v>260</v>
      </c>
      <c r="O228">
        <v>300</v>
      </c>
      <c r="P228">
        <v>0.77</v>
      </c>
      <c r="Q228">
        <f t="shared" si="8"/>
        <v>2645.52</v>
      </c>
    </row>
    <row r="229" spans="1:17">
      <c r="A229" t="s">
        <v>90</v>
      </c>
      <c r="B229" t="s">
        <v>10</v>
      </c>
      <c r="C229" t="s">
        <v>93</v>
      </c>
      <c r="D229" t="s">
        <v>76</v>
      </c>
      <c r="E229" t="s">
        <v>74</v>
      </c>
      <c r="F229" t="s">
        <v>172</v>
      </c>
      <c r="G229">
        <v>3</v>
      </c>
      <c r="H229" t="s">
        <v>35</v>
      </c>
      <c r="I229" s="4" t="s">
        <v>193</v>
      </c>
      <c r="J229" s="4" t="s">
        <v>35</v>
      </c>
      <c r="K229" t="s">
        <v>60</v>
      </c>
      <c r="L229">
        <v>20</v>
      </c>
      <c r="M229">
        <v>350</v>
      </c>
      <c r="N229">
        <v>260</v>
      </c>
      <c r="O229">
        <v>300</v>
      </c>
      <c r="P229">
        <v>0.83</v>
      </c>
      <c r="Q229">
        <f t="shared" si="8"/>
        <v>2645.52</v>
      </c>
    </row>
    <row r="230" spans="1:17">
      <c r="A230" t="s">
        <v>90</v>
      </c>
      <c r="B230" t="s">
        <v>10</v>
      </c>
      <c r="C230" t="s">
        <v>93</v>
      </c>
      <c r="D230" t="s">
        <v>101</v>
      </c>
      <c r="E230" t="s">
        <v>74</v>
      </c>
      <c r="F230" t="s">
        <v>172</v>
      </c>
      <c r="G230">
        <v>3</v>
      </c>
      <c r="H230" t="s">
        <v>35</v>
      </c>
      <c r="I230" s="4" t="s">
        <v>193</v>
      </c>
      <c r="J230" s="4" t="s">
        <v>35</v>
      </c>
      <c r="K230" t="s">
        <v>60</v>
      </c>
      <c r="L230">
        <v>20</v>
      </c>
      <c r="M230">
        <v>350</v>
      </c>
      <c r="N230">
        <v>260</v>
      </c>
      <c r="O230">
        <v>300</v>
      </c>
      <c r="P230">
        <v>0.83</v>
      </c>
      <c r="Q230">
        <f t="shared" si="8"/>
        <v>2645.52</v>
      </c>
    </row>
    <row r="231" spans="1:17">
      <c r="A231" t="s">
        <v>90</v>
      </c>
      <c r="B231" t="s">
        <v>10</v>
      </c>
      <c r="C231" t="s">
        <v>93</v>
      </c>
      <c r="D231" t="s">
        <v>69</v>
      </c>
      <c r="E231" t="s">
        <v>74</v>
      </c>
      <c r="F231" t="s">
        <v>172</v>
      </c>
      <c r="G231">
        <v>3</v>
      </c>
      <c r="H231" t="s">
        <v>35</v>
      </c>
      <c r="I231" s="4" t="s">
        <v>193</v>
      </c>
      <c r="J231" s="4" t="s">
        <v>35</v>
      </c>
      <c r="K231" t="s">
        <v>60</v>
      </c>
      <c r="L231">
        <v>20</v>
      </c>
      <c r="M231">
        <v>350</v>
      </c>
      <c r="N231">
        <v>260</v>
      </c>
      <c r="O231">
        <v>300</v>
      </c>
      <c r="P231">
        <v>0.83</v>
      </c>
      <c r="Q231">
        <f t="shared" si="8"/>
        <v>2645.52</v>
      </c>
    </row>
    <row r="232" spans="1:17">
      <c r="A232" t="s">
        <v>90</v>
      </c>
      <c r="B232" t="s">
        <v>10</v>
      </c>
      <c r="C232" t="s">
        <v>93</v>
      </c>
      <c r="D232" t="s">
        <v>192</v>
      </c>
      <c r="E232" t="s">
        <v>74</v>
      </c>
      <c r="F232" t="s">
        <v>172</v>
      </c>
      <c r="G232">
        <v>3</v>
      </c>
      <c r="H232" t="s">
        <v>35</v>
      </c>
      <c r="I232" s="4" t="s">
        <v>193</v>
      </c>
      <c r="J232" s="4" t="s">
        <v>35</v>
      </c>
      <c r="K232" t="s">
        <v>60</v>
      </c>
      <c r="L232">
        <v>20</v>
      </c>
      <c r="M232">
        <v>350</v>
      </c>
      <c r="N232">
        <v>260</v>
      </c>
      <c r="O232">
        <v>300</v>
      </c>
      <c r="P232">
        <v>0.83</v>
      </c>
      <c r="Q232">
        <f t="shared" si="8"/>
        <v>2645.52</v>
      </c>
    </row>
    <row r="233" spans="1:17">
      <c r="A233" t="s">
        <v>90</v>
      </c>
      <c r="B233" t="s">
        <v>10</v>
      </c>
      <c r="C233" t="s">
        <v>93</v>
      </c>
      <c r="D233" t="s">
        <v>1</v>
      </c>
      <c r="E233" t="s">
        <v>32</v>
      </c>
      <c r="F233" t="s">
        <v>39</v>
      </c>
      <c r="G233">
        <v>3</v>
      </c>
      <c r="H233">
        <v>3</v>
      </c>
      <c r="I233" s="4" t="s">
        <v>193</v>
      </c>
      <c r="J233" s="4" t="s">
        <v>135</v>
      </c>
      <c r="K233" t="s">
        <v>60</v>
      </c>
      <c r="L233">
        <v>150</v>
      </c>
      <c r="M233">
        <v>350</v>
      </c>
      <c r="N233">
        <v>260</v>
      </c>
      <c r="O233">
        <v>300</v>
      </c>
      <c r="P233">
        <v>0.8</v>
      </c>
      <c r="Q233">
        <f>2.2046*1100</f>
        <v>2425.06</v>
      </c>
    </row>
    <row r="234" spans="1:17">
      <c r="A234" t="s">
        <v>90</v>
      </c>
      <c r="B234" t="s">
        <v>10</v>
      </c>
      <c r="C234" t="s">
        <v>93</v>
      </c>
      <c r="D234" t="s">
        <v>69</v>
      </c>
      <c r="E234" t="s">
        <v>73</v>
      </c>
      <c r="F234" t="s">
        <v>39</v>
      </c>
      <c r="G234">
        <v>3</v>
      </c>
      <c r="H234">
        <v>3</v>
      </c>
      <c r="I234" s="4" t="s">
        <v>193</v>
      </c>
      <c r="J234" s="4" t="s">
        <v>182</v>
      </c>
      <c r="K234" t="s">
        <v>60</v>
      </c>
      <c r="L234">
        <v>150</v>
      </c>
      <c r="M234">
        <v>350</v>
      </c>
      <c r="N234">
        <v>260</v>
      </c>
      <c r="O234">
        <v>300</v>
      </c>
      <c r="P234">
        <v>0.8</v>
      </c>
      <c r="Q234">
        <f>2.2046*1100</f>
        <v>2425.06</v>
      </c>
    </row>
    <row r="235" spans="1:17">
      <c r="A235" t="s">
        <v>90</v>
      </c>
      <c r="B235" t="s">
        <v>10</v>
      </c>
      <c r="C235" t="s">
        <v>93</v>
      </c>
      <c r="D235" t="s">
        <v>66</v>
      </c>
      <c r="E235" t="s">
        <v>180</v>
      </c>
      <c r="F235" t="s">
        <v>39</v>
      </c>
      <c r="G235">
        <v>3</v>
      </c>
      <c r="H235">
        <v>3</v>
      </c>
      <c r="I235" s="4" t="s">
        <v>193</v>
      </c>
      <c r="J235" s="4" t="s">
        <v>183</v>
      </c>
      <c r="K235" t="s">
        <v>60</v>
      </c>
      <c r="L235">
        <v>150</v>
      </c>
      <c r="M235">
        <v>350</v>
      </c>
      <c r="N235">
        <v>260</v>
      </c>
      <c r="O235">
        <v>300</v>
      </c>
      <c r="P235">
        <v>0.8</v>
      </c>
      <c r="Q235">
        <f>2.2046*1100</f>
        <v>2425.06</v>
      </c>
    </row>
    <row r="236" spans="1:17">
      <c r="A236" t="s">
        <v>90</v>
      </c>
      <c r="B236" t="s">
        <v>10</v>
      </c>
      <c r="C236" t="s">
        <v>93</v>
      </c>
      <c r="D236" t="s">
        <v>66</v>
      </c>
      <c r="E236" t="s">
        <v>180</v>
      </c>
      <c r="F236" t="s">
        <v>22</v>
      </c>
      <c r="G236">
        <v>3</v>
      </c>
      <c r="H236">
        <v>3</v>
      </c>
      <c r="I236" s="4" t="s">
        <v>193</v>
      </c>
      <c r="J236" s="4" t="s">
        <v>183</v>
      </c>
      <c r="K236" t="s">
        <v>60</v>
      </c>
      <c r="L236">
        <v>150</v>
      </c>
      <c r="M236">
        <v>350</v>
      </c>
      <c r="N236">
        <v>260</v>
      </c>
      <c r="O236">
        <v>300</v>
      </c>
      <c r="P236">
        <v>0.8</v>
      </c>
      <c r="Q236">
        <f>2.2046*1100</f>
        <v>2425.06</v>
      </c>
    </row>
    <row r="237" spans="1:17">
      <c r="A237" t="s">
        <v>90</v>
      </c>
      <c r="B237" t="s">
        <v>10</v>
      </c>
      <c r="C237" t="s">
        <v>93</v>
      </c>
      <c r="D237" t="s">
        <v>1</v>
      </c>
      <c r="E237" t="s">
        <v>32</v>
      </c>
      <c r="F237" t="s">
        <v>22</v>
      </c>
      <c r="G237">
        <v>3</v>
      </c>
      <c r="H237">
        <v>3</v>
      </c>
      <c r="I237" s="4" t="s">
        <v>193</v>
      </c>
      <c r="J237" s="4" t="s">
        <v>135</v>
      </c>
      <c r="K237" t="s">
        <v>60</v>
      </c>
      <c r="L237">
        <v>150</v>
      </c>
      <c r="M237">
        <v>350</v>
      </c>
      <c r="N237">
        <v>260</v>
      </c>
      <c r="O237">
        <v>300</v>
      </c>
      <c r="P237">
        <v>0.8</v>
      </c>
      <c r="Q237">
        <f>2.2046*1100</f>
        <v>2425.06</v>
      </c>
    </row>
    <row r="238" spans="1:17">
      <c r="A238" t="s">
        <v>90</v>
      </c>
      <c r="B238" t="s">
        <v>10</v>
      </c>
      <c r="C238" t="s">
        <v>93</v>
      </c>
      <c r="D238" t="s">
        <v>69</v>
      </c>
      <c r="E238" t="s">
        <v>73</v>
      </c>
      <c r="F238" t="s">
        <v>82</v>
      </c>
      <c r="G238">
        <v>3</v>
      </c>
      <c r="H238">
        <v>3</v>
      </c>
      <c r="I238" s="4" t="s">
        <v>193</v>
      </c>
      <c r="J238" s="4" t="s">
        <v>182</v>
      </c>
      <c r="K238" t="s">
        <v>60</v>
      </c>
      <c r="L238">
        <v>150</v>
      </c>
      <c r="M238">
        <v>350</v>
      </c>
      <c r="N238">
        <v>260</v>
      </c>
      <c r="O238">
        <v>300</v>
      </c>
      <c r="P238">
        <v>0.8</v>
      </c>
      <c r="Q238">
        <f t="shared" ref="Q238:Q249" si="9">2.2046*1100</f>
        <v>2425.06</v>
      </c>
    </row>
    <row r="239" spans="1:17">
      <c r="A239" t="s">
        <v>90</v>
      </c>
      <c r="B239" t="s">
        <v>10</v>
      </c>
      <c r="C239" t="s">
        <v>93</v>
      </c>
      <c r="D239" t="s">
        <v>1</v>
      </c>
      <c r="E239" t="s">
        <v>32</v>
      </c>
      <c r="F239" t="s">
        <v>41</v>
      </c>
      <c r="G239">
        <v>3</v>
      </c>
      <c r="H239">
        <v>3</v>
      </c>
      <c r="I239" s="4" t="s">
        <v>193</v>
      </c>
      <c r="J239" s="4" t="s">
        <v>135</v>
      </c>
      <c r="K239" t="s">
        <v>60</v>
      </c>
      <c r="L239">
        <v>150</v>
      </c>
      <c r="M239">
        <v>350</v>
      </c>
      <c r="N239">
        <v>260</v>
      </c>
      <c r="O239">
        <v>300</v>
      </c>
      <c r="P239">
        <v>0.8</v>
      </c>
      <c r="Q239">
        <f t="shared" si="9"/>
        <v>2425.06</v>
      </c>
    </row>
    <row r="240" spans="1:17">
      <c r="A240" t="s">
        <v>90</v>
      </c>
      <c r="B240" t="s">
        <v>10</v>
      </c>
      <c r="C240" t="s">
        <v>93</v>
      </c>
      <c r="D240" t="s">
        <v>179</v>
      </c>
      <c r="E240" t="s">
        <v>32</v>
      </c>
      <c r="F240" t="s">
        <v>41</v>
      </c>
      <c r="G240">
        <v>3</v>
      </c>
      <c r="H240">
        <v>3</v>
      </c>
      <c r="I240" s="4" t="s">
        <v>193</v>
      </c>
      <c r="J240" s="4" t="s">
        <v>35</v>
      </c>
      <c r="K240" t="s">
        <v>60</v>
      </c>
      <c r="L240">
        <v>150</v>
      </c>
      <c r="M240">
        <v>350</v>
      </c>
      <c r="N240">
        <v>260</v>
      </c>
      <c r="O240">
        <v>300</v>
      </c>
      <c r="P240">
        <v>0.8</v>
      </c>
      <c r="Q240">
        <f t="shared" si="9"/>
        <v>2425.06</v>
      </c>
    </row>
    <row r="241" spans="1:17">
      <c r="A241" t="s">
        <v>90</v>
      </c>
      <c r="B241" t="s">
        <v>10</v>
      </c>
      <c r="C241" t="s">
        <v>93</v>
      </c>
      <c r="D241" t="s">
        <v>68</v>
      </c>
      <c r="E241" t="s">
        <v>32</v>
      </c>
      <c r="F241" t="s">
        <v>41</v>
      </c>
      <c r="G241">
        <v>3</v>
      </c>
      <c r="H241">
        <v>3</v>
      </c>
      <c r="I241" s="4" t="s">
        <v>193</v>
      </c>
      <c r="J241" s="4" t="s">
        <v>35</v>
      </c>
      <c r="K241" t="s">
        <v>60</v>
      </c>
      <c r="L241">
        <v>150</v>
      </c>
      <c r="M241">
        <v>350</v>
      </c>
      <c r="N241">
        <v>260</v>
      </c>
      <c r="O241">
        <v>300</v>
      </c>
      <c r="P241">
        <v>0.8</v>
      </c>
      <c r="Q241">
        <f t="shared" si="9"/>
        <v>2425.06</v>
      </c>
    </row>
    <row r="242" spans="1:17">
      <c r="A242" t="s">
        <v>90</v>
      </c>
      <c r="B242" t="s">
        <v>10</v>
      </c>
      <c r="C242" t="s">
        <v>93</v>
      </c>
      <c r="D242" t="s">
        <v>1</v>
      </c>
      <c r="E242" t="s">
        <v>32</v>
      </c>
      <c r="F242" t="s">
        <v>23</v>
      </c>
      <c r="G242">
        <v>3</v>
      </c>
      <c r="H242">
        <v>3</v>
      </c>
      <c r="I242" s="4" t="s">
        <v>193</v>
      </c>
      <c r="J242" s="4" t="s">
        <v>135</v>
      </c>
      <c r="K242" t="s">
        <v>60</v>
      </c>
      <c r="L242">
        <v>150</v>
      </c>
      <c r="M242">
        <v>350</v>
      </c>
      <c r="N242">
        <v>260</v>
      </c>
      <c r="O242">
        <v>300</v>
      </c>
      <c r="P242">
        <v>0.8</v>
      </c>
      <c r="Q242">
        <f t="shared" si="9"/>
        <v>2425.06</v>
      </c>
    </row>
    <row r="243" spans="1:17">
      <c r="A243" t="s">
        <v>90</v>
      </c>
      <c r="B243" t="s">
        <v>10</v>
      </c>
      <c r="C243" t="s">
        <v>93</v>
      </c>
      <c r="D243" t="s">
        <v>179</v>
      </c>
      <c r="E243" t="s">
        <v>32</v>
      </c>
      <c r="F243" t="s">
        <v>23</v>
      </c>
      <c r="G243">
        <v>3</v>
      </c>
      <c r="H243">
        <v>3</v>
      </c>
      <c r="I243" s="4" t="s">
        <v>193</v>
      </c>
      <c r="J243" s="4" t="s">
        <v>35</v>
      </c>
      <c r="K243" t="s">
        <v>60</v>
      </c>
      <c r="L243">
        <v>150</v>
      </c>
      <c r="M243">
        <v>350</v>
      </c>
      <c r="N243">
        <v>260</v>
      </c>
      <c r="O243">
        <v>300</v>
      </c>
      <c r="P243">
        <v>0.8</v>
      </c>
      <c r="Q243">
        <f t="shared" si="9"/>
        <v>2425.06</v>
      </c>
    </row>
    <row r="244" spans="1:17">
      <c r="A244" t="s">
        <v>90</v>
      </c>
      <c r="B244" t="s">
        <v>10</v>
      </c>
      <c r="C244" t="s">
        <v>93</v>
      </c>
      <c r="D244" t="s">
        <v>68</v>
      </c>
      <c r="E244" t="s">
        <v>32</v>
      </c>
      <c r="F244" t="s">
        <v>23</v>
      </c>
      <c r="G244">
        <v>3</v>
      </c>
      <c r="H244">
        <v>3</v>
      </c>
      <c r="I244" s="4" t="s">
        <v>193</v>
      </c>
      <c r="J244" s="4" t="s">
        <v>35</v>
      </c>
      <c r="K244" t="s">
        <v>60</v>
      </c>
      <c r="L244">
        <v>150</v>
      </c>
      <c r="M244">
        <v>350</v>
      </c>
      <c r="N244">
        <v>260</v>
      </c>
      <c r="O244">
        <v>300</v>
      </c>
      <c r="P244">
        <v>0.8</v>
      </c>
      <c r="Q244">
        <f t="shared" si="9"/>
        <v>2425.06</v>
      </c>
    </row>
    <row r="245" spans="1:17">
      <c r="A245" t="s">
        <v>90</v>
      </c>
      <c r="B245" t="s">
        <v>10</v>
      </c>
      <c r="C245" t="s">
        <v>93</v>
      </c>
      <c r="D245" t="s">
        <v>67</v>
      </c>
      <c r="E245" t="s">
        <v>32</v>
      </c>
      <c r="F245" t="s">
        <v>23</v>
      </c>
      <c r="G245">
        <v>3</v>
      </c>
      <c r="H245">
        <v>3</v>
      </c>
      <c r="I245" s="4" t="s">
        <v>193</v>
      </c>
      <c r="J245" s="4" t="s">
        <v>35</v>
      </c>
      <c r="K245" t="s">
        <v>60</v>
      </c>
      <c r="L245">
        <v>150</v>
      </c>
      <c r="M245">
        <v>350</v>
      </c>
      <c r="N245">
        <v>260</v>
      </c>
      <c r="O245">
        <v>300</v>
      </c>
      <c r="P245">
        <v>0.8</v>
      </c>
      <c r="Q245">
        <f t="shared" si="9"/>
        <v>2425.06</v>
      </c>
    </row>
    <row r="246" spans="1:17">
      <c r="A246" t="s">
        <v>90</v>
      </c>
      <c r="B246" t="s">
        <v>10</v>
      </c>
      <c r="C246" t="s">
        <v>93</v>
      </c>
      <c r="D246" t="s">
        <v>1</v>
      </c>
      <c r="E246" t="s">
        <v>32</v>
      </c>
      <c r="F246" t="s">
        <v>70</v>
      </c>
      <c r="G246">
        <v>3</v>
      </c>
      <c r="H246">
        <v>3</v>
      </c>
      <c r="I246" s="4" t="s">
        <v>193</v>
      </c>
      <c r="J246" s="4" t="s">
        <v>135</v>
      </c>
      <c r="K246" t="s">
        <v>60</v>
      </c>
      <c r="L246">
        <v>150</v>
      </c>
      <c r="M246">
        <v>350</v>
      </c>
      <c r="N246">
        <v>260</v>
      </c>
      <c r="O246">
        <v>300</v>
      </c>
      <c r="P246">
        <v>0.8</v>
      </c>
      <c r="Q246">
        <f t="shared" si="9"/>
        <v>2425.06</v>
      </c>
    </row>
    <row r="247" spans="1:17">
      <c r="A247" t="s">
        <v>90</v>
      </c>
      <c r="B247" t="s">
        <v>10</v>
      </c>
      <c r="C247" t="s">
        <v>93</v>
      </c>
      <c r="D247" t="s">
        <v>181</v>
      </c>
      <c r="E247" t="s">
        <v>32</v>
      </c>
      <c r="F247" t="s">
        <v>70</v>
      </c>
      <c r="G247">
        <v>3</v>
      </c>
      <c r="H247">
        <v>3</v>
      </c>
      <c r="I247" s="4" t="s">
        <v>193</v>
      </c>
      <c r="J247" s="4" t="s">
        <v>35</v>
      </c>
      <c r="K247" t="s">
        <v>60</v>
      </c>
      <c r="L247">
        <v>150</v>
      </c>
      <c r="M247">
        <v>350</v>
      </c>
      <c r="N247">
        <v>260</v>
      </c>
      <c r="O247">
        <v>300</v>
      </c>
      <c r="P247">
        <v>0.8</v>
      </c>
      <c r="Q247">
        <f t="shared" si="9"/>
        <v>2425.06</v>
      </c>
    </row>
    <row r="248" spans="1:17">
      <c r="A248" t="s">
        <v>90</v>
      </c>
      <c r="B248" t="s">
        <v>10</v>
      </c>
      <c r="C248" t="s">
        <v>93</v>
      </c>
      <c r="D248" t="s">
        <v>1</v>
      </c>
      <c r="E248" t="s">
        <v>32</v>
      </c>
      <c r="F248" t="s">
        <v>71</v>
      </c>
      <c r="G248">
        <v>3</v>
      </c>
      <c r="H248">
        <v>3</v>
      </c>
      <c r="I248" s="4" t="s">
        <v>193</v>
      </c>
      <c r="J248" s="4" t="s">
        <v>135</v>
      </c>
      <c r="K248" t="s">
        <v>60</v>
      </c>
      <c r="L248">
        <v>150</v>
      </c>
      <c r="M248">
        <v>350</v>
      </c>
      <c r="N248">
        <v>260</v>
      </c>
      <c r="O248">
        <v>300</v>
      </c>
      <c r="P248">
        <v>0.8</v>
      </c>
      <c r="Q248">
        <f t="shared" si="9"/>
        <v>2425.06</v>
      </c>
    </row>
    <row r="249" spans="1:17">
      <c r="A249" t="s">
        <v>90</v>
      </c>
      <c r="B249" t="s">
        <v>10</v>
      </c>
      <c r="C249" t="s">
        <v>93</v>
      </c>
      <c r="D249" t="s">
        <v>181</v>
      </c>
      <c r="E249" t="s">
        <v>32</v>
      </c>
      <c r="F249" t="s">
        <v>71</v>
      </c>
      <c r="G249">
        <v>3</v>
      </c>
      <c r="H249">
        <v>3</v>
      </c>
      <c r="I249" s="4" t="s">
        <v>193</v>
      </c>
      <c r="J249" s="4" t="s">
        <v>35</v>
      </c>
      <c r="K249" t="s">
        <v>60</v>
      </c>
      <c r="L249">
        <v>150</v>
      </c>
      <c r="M249">
        <v>350</v>
      </c>
      <c r="N249">
        <v>260</v>
      </c>
      <c r="O249">
        <v>300</v>
      </c>
      <c r="P249">
        <v>0.8</v>
      </c>
      <c r="Q249">
        <f t="shared" si="9"/>
        <v>2425.06</v>
      </c>
    </row>
    <row r="250" spans="1:17">
      <c r="A250" t="s">
        <v>90</v>
      </c>
      <c r="B250" t="s">
        <v>10</v>
      </c>
      <c r="C250" t="s">
        <v>93</v>
      </c>
      <c r="D250" t="s">
        <v>1</v>
      </c>
      <c r="E250" t="s">
        <v>20</v>
      </c>
      <c r="F250" t="s">
        <v>40</v>
      </c>
      <c r="G250">
        <v>3</v>
      </c>
      <c r="H250">
        <v>3</v>
      </c>
      <c r="I250" s="4" t="s">
        <v>193</v>
      </c>
      <c r="J250" s="4" t="s">
        <v>135</v>
      </c>
      <c r="K250" t="s">
        <v>60</v>
      </c>
      <c r="L250">
        <v>150</v>
      </c>
      <c r="M250">
        <v>350</v>
      </c>
      <c r="N250">
        <v>260</v>
      </c>
      <c r="O250">
        <v>300</v>
      </c>
      <c r="P250">
        <v>0.8</v>
      </c>
      <c r="Q250">
        <f>2.2046*1100</f>
        <v>2425.06</v>
      </c>
    </row>
    <row r="251" spans="1:17">
      <c r="A251" t="s">
        <v>90</v>
      </c>
      <c r="B251" t="s">
        <v>10</v>
      </c>
      <c r="C251" t="s">
        <v>93</v>
      </c>
      <c r="D251" t="s">
        <v>80</v>
      </c>
      <c r="E251" t="s">
        <v>173</v>
      </c>
      <c r="F251" t="s">
        <v>22</v>
      </c>
      <c r="G251">
        <v>2</v>
      </c>
      <c r="H251">
        <v>3</v>
      </c>
      <c r="I251" s="4" t="s">
        <v>193</v>
      </c>
      <c r="J251" s="4" t="s">
        <v>186</v>
      </c>
      <c r="K251" t="s">
        <v>60</v>
      </c>
      <c r="L251">
        <v>15</v>
      </c>
      <c r="M251">
        <v>350</v>
      </c>
      <c r="N251">
        <v>260</v>
      </c>
      <c r="O251">
        <v>325</v>
      </c>
      <c r="P251">
        <v>0.85</v>
      </c>
      <c r="Q251">
        <f>2.2046*1200</f>
        <v>2645.52</v>
      </c>
    </row>
    <row r="252" spans="1:17">
      <c r="A252" t="s">
        <v>90</v>
      </c>
      <c r="B252" t="s">
        <v>10</v>
      </c>
      <c r="C252" t="s">
        <v>93</v>
      </c>
      <c r="D252" t="s">
        <v>80</v>
      </c>
      <c r="E252" t="s">
        <v>173</v>
      </c>
      <c r="F252" t="s">
        <v>41</v>
      </c>
      <c r="G252">
        <v>2</v>
      </c>
      <c r="H252">
        <v>3</v>
      </c>
      <c r="I252" s="4" t="s">
        <v>193</v>
      </c>
      <c r="J252" s="4" t="s">
        <v>186</v>
      </c>
      <c r="K252" t="s">
        <v>60</v>
      </c>
      <c r="L252">
        <v>15</v>
      </c>
      <c r="M252">
        <v>350</v>
      </c>
      <c r="N252">
        <v>260</v>
      </c>
      <c r="O252">
        <v>325</v>
      </c>
      <c r="P252">
        <v>0.85</v>
      </c>
      <c r="Q252">
        <f>2.2046*1200</f>
        <v>2645.52</v>
      </c>
    </row>
    <row r="253" spans="1:17">
      <c r="A253" t="s">
        <v>90</v>
      </c>
      <c r="B253" t="s">
        <v>10</v>
      </c>
      <c r="C253" t="s">
        <v>93</v>
      </c>
      <c r="D253" t="s">
        <v>80</v>
      </c>
      <c r="E253" t="s">
        <v>173</v>
      </c>
      <c r="F253" t="s">
        <v>23</v>
      </c>
      <c r="G253">
        <v>2</v>
      </c>
      <c r="H253">
        <v>3</v>
      </c>
      <c r="I253" s="4" t="s">
        <v>193</v>
      </c>
      <c r="J253" s="4" t="s">
        <v>186</v>
      </c>
      <c r="K253" t="s">
        <v>60</v>
      </c>
      <c r="L253">
        <v>15</v>
      </c>
      <c r="M253">
        <v>350</v>
      </c>
      <c r="N253">
        <v>260</v>
      </c>
      <c r="O253">
        <v>325</v>
      </c>
      <c r="P253">
        <v>0.85</v>
      </c>
      <c r="Q253">
        <f>2.2046*1200</f>
        <v>2645.52</v>
      </c>
    </row>
    <row r="254" spans="1:17">
      <c r="A254" t="s">
        <v>90</v>
      </c>
      <c r="B254" t="s">
        <v>10</v>
      </c>
      <c r="C254" t="s">
        <v>93</v>
      </c>
      <c r="D254" t="s">
        <v>80</v>
      </c>
      <c r="E254" t="s">
        <v>173</v>
      </c>
      <c r="F254" t="s">
        <v>185</v>
      </c>
      <c r="G254">
        <v>2</v>
      </c>
      <c r="H254">
        <v>3</v>
      </c>
      <c r="I254" s="4" t="s">
        <v>193</v>
      </c>
      <c r="J254" s="4" t="s">
        <v>186</v>
      </c>
      <c r="K254" t="s">
        <v>60</v>
      </c>
      <c r="L254">
        <v>15</v>
      </c>
      <c r="M254">
        <v>350</v>
      </c>
      <c r="N254">
        <v>260</v>
      </c>
      <c r="O254">
        <v>325</v>
      </c>
      <c r="P254">
        <v>0.85</v>
      </c>
      <c r="Q254">
        <f>2.2046*1200</f>
        <v>2645.52</v>
      </c>
    </row>
    <row r="255" spans="1:17">
      <c r="A255" t="s">
        <v>90</v>
      </c>
      <c r="B255" t="s">
        <v>10</v>
      </c>
      <c r="C255" t="s">
        <v>93</v>
      </c>
      <c r="D255" t="s">
        <v>80</v>
      </c>
      <c r="E255" t="s">
        <v>173</v>
      </c>
      <c r="F255" t="s">
        <v>184</v>
      </c>
      <c r="G255">
        <v>2</v>
      </c>
      <c r="H255">
        <v>3</v>
      </c>
      <c r="I255" s="4" t="s">
        <v>193</v>
      </c>
      <c r="J255" s="4" t="s">
        <v>186</v>
      </c>
      <c r="K255" t="s">
        <v>60</v>
      </c>
      <c r="L255">
        <v>15</v>
      </c>
      <c r="M255">
        <v>350</v>
      </c>
      <c r="N255">
        <v>260</v>
      </c>
      <c r="O255">
        <v>325</v>
      </c>
      <c r="P255">
        <v>0.85</v>
      </c>
      <c r="Q255">
        <f>2.2046*1200</f>
        <v>2645.52</v>
      </c>
    </row>
    <row r="256" spans="1:17">
      <c r="A256" t="s">
        <v>90</v>
      </c>
      <c r="B256" t="s">
        <v>10</v>
      </c>
      <c r="C256" t="s">
        <v>93</v>
      </c>
      <c r="D256" t="s">
        <v>80</v>
      </c>
      <c r="E256" t="s">
        <v>81</v>
      </c>
      <c r="F256" t="s">
        <v>22</v>
      </c>
      <c r="G256">
        <v>2</v>
      </c>
      <c r="H256">
        <v>3</v>
      </c>
      <c r="I256" s="4" t="s">
        <v>193</v>
      </c>
      <c r="J256" s="4" t="s">
        <v>186</v>
      </c>
      <c r="K256" t="s">
        <v>60</v>
      </c>
      <c r="L256">
        <v>15</v>
      </c>
      <c r="M256">
        <v>350</v>
      </c>
      <c r="N256">
        <v>260</v>
      </c>
      <c r="O256">
        <v>315</v>
      </c>
      <c r="P256">
        <v>0.83</v>
      </c>
      <c r="Q256">
        <f>2.2046*1250</f>
        <v>2755.75</v>
      </c>
    </row>
    <row r="257" spans="1:17">
      <c r="A257" t="s">
        <v>90</v>
      </c>
      <c r="B257" t="s">
        <v>10</v>
      </c>
      <c r="C257" t="s">
        <v>93</v>
      </c>
      <c r="D257" t="s">
        <v>80</v>
      </c>
      <c r="E257" t="s">
        <v>81</v>
      </c>
      <c r="F257" t="s">
        <v>41</v>
      </c>
      <c r="G257">
        <v>2</v>
      </c>
      <c r="H257">
        <v>3</v>
      </c>
      <c r="I257" s="4" t="s">
        <v>193</v>
      </c>
      <c r="J257" s="4" t="s">
        <v>186</v>
      </c>
      <c r="K257" t="s">
        <v>60</v>
      </c>
      <c r="L257">
        <v>15</v>
      </c>
      <c r="M257">
        <v>350</v>
      </c>
      <c r="N257">
        <v>260</v>
      </c>
      <c r="O257">
        <v>315</v>
      </c>
      <c r="P257">
        <v>0.83</v>
      </c>
      <c r="Q257">
        <f>2.2046*1250</f>
        <v>2755.75</v>
      </c>
    </row>
    <row r="258" spans="1:17">
      <c r="A258" t="s">
        <v>90</v>
      </c>
      <c r="B258" t="s">
        <v>10</v>
      </c>
      <c r="C258" t="s">
        <v>93</v>
      </c>
      <c r="D258" t="s">
        <v>80</v>
      </c>
      <c r="E258" t="s">
        <v>81</v>
      </c>
      <c r="F258" t="s">
        <v>82</v>
      </c>
      <c r="G258">
        <v>2</v>
      </c>
      <c r="H258">
        <v>3</v>
      </c>
      <c r="I258" s="4" t="s">
        <v>193</v>
      </c>
      <c r="J258" s="4" t="s">
        <v>186</v>
      </c>
      <c r="K258" t="s">
        <v>60</v>
      </c>
      <c r="L258">
        <v>15</v>
      </c>
      <c r="M258">
        <v>350</v>
      </c>
      <c r="N258">
        <v>260</v>
      </c>
      <c r="O258">
        <v>315</v>
      </c>
      <c r="P258">
        <v>0.83</v>
      </c>
      <c r="Q258">
        <f>2.2046*1250</f>
        <v>2755.75</v>
      </c>
    </row>
    <row r="259" spans="1:17">
      <c r="A259" t="s">
        <v>90</v>
      </c>
      <c r="B259" t="s">
        <v>10</v>
      </c>
      <c r="C259" t="s">
        <v>93</v>
      </c>
      <c r="D259" t="s">
        <v>187</v>
      </c>
      <c r="E259" t="s">
        <v>174</v>
      </c>
      <c r="F259" t="s">
        <v>41</v>
      </c>
      <c r="G259">
        <v>3</v>
      </c>
      <c r="H259" s="4" t="s">
        <v>136</v>
      </c>
      <c r="I259" s="4" t="s">
        <v>193</v>
      </c>
      <c r="J259" s="4" t="s">
        <v>35</v>
      </c>
      <c r="K259" t="s">
        <v>60</v>
      </c>
      <c r="L259">
        <v>50</v>
      </c>
      <c r="M259">
        <v>330</v>
      </c>
      <c r="N259">
        <v>260</v>
      </c>
      <c r="O259">
        <v>325</v>
      </c>
      <c r="P259">
        <v>0.86</v>
      </c>
      <c r="Q259">
        <f t="shared" ref="Q259:Q266" si="10">2.2046*894</f>
        <v>1970.9124000000002</v>
      </c>
    </row>
    <row r="260" spans="1:17">
      <c r="A260" t="s">
        <v>90</v>
      </c>
      <c r="B260" t="s">
        <v>10</v>
      </c>
      <c r="C260" t="s">
        <v>93</v>
      </c>
      <c r="D260" t="s">
        <v>188</v>
      </c>
      <c r="E260" t="s">
        <v>174</v>
      </c>
      <c r="F260" t="s">
        <v>41</v>
      </c>
      <c r="G260">
        <v>3</v>
      </c>
      <c r="H260" s="4" t="s">
        <v>136</v>
      </c>
      <c r="I260" s="4" t="s">
        <v>193</v>
      </c>
      <c r="J260" s="4" t="s">
        <v>189</v>
      </c>
      <c r="K260" t="s">
        <v>60</v>
      </c>
      <c r="L260">
        <v>50</v>
      </c>
      <c r="M260">
        <v>330</v>
      </c>
      <c r="N260">
        <v>260</v>
      </c>
      <c r="O260">
        <v>325</v>
      </c>
      <c r="P260">
        <v>0.86</v>
      </c>
      <c r="Q260">
        <f t="shared" si="10"/>
        <v>1970.9124000000002</v>
      </c>
    </row>
    <row r="261" spans="1:17">
      <c r="A261" t="s">
        <v>90</v>
      </c>
      <c r="B261" t="s">
        <v>10</v>
      </c>
      <c r="C261" t="s">
        <v>93</v>
      </c>
      <c r="D261" t="s">
        <v>78</v>
      </c>
      <c r="E261" t="s">
        <v>174</v>
      </c>
      <c r="F261" t="s">
        <v>41</v>
      </c>
      <c r="G261">
        <v>3</v>
      </c>
      <c r="H261" s="4" t="s">
        <v>136</v>
      </c>
      <c r="I261" s="4" t="s">
        <v>193</v>
      </c>
      <c r="J261" s="4" t="s">
        <v>35</v>
      </c>
      <c r="K261" t="s">
        <v>60</v>
      </c>
      <c r="L261">
        <v>50</v>
      </c>
      <c r="M261">
        <v>330</v>
      </c>
      <c r="N261">
        <v>260</v>
      </c>
      <c r="O261">
        <v>325</v>
      </c>
      <c r="P261">
        <v>0.86</v>
      </c>
      <c r="Q261">
        <f t="shared" si="10"/>
        <v>1970.9124000000002</v>
      </c>
    </row>
    <row r="262" spans="1:17">
      <c r="A262" t="s">
        <v>90</v>
      </c>
      <c r="B262" t="s">
        <v>10</v>
      </c>
      <c r="C262" t="s">
        <v>93</v>
      </c>
      <c r="D262" t="s">
        <v>55</v>
      </c>
      <c r="E262" t="s">
        <v>174</v>
      </c>
      <c r="F262" t="s">
        <v>41</v>
      </c>
      <c r="G262">
        <v>3</v>
      </c>
      <c r="H262" s="4" t="s">
        <v>136</v>
      </c>
      <c r="I262" s="4" t="s">
        <v>193</v>
      </c>
      <c r="J262" s="4" t="s">
        <v>35</v>
      </c>
      <c r="K262" t="s">
        <v>60</v>
      </c>
      <c r="L262">
        <v>50</v>
      </c>
      <c r="M262">
        <v>330</v>
      </c>
      <c r="N262">
        <v>260</v>
      </c>
      <c r="O262">
        <v>325</v>
      </c>
      <c r="P262">
        <v>0.86</v>
      </c>
      <c r="Q262">
        <f t="shared" si="10"/>
        <v>1970.9124000000002</v>
      </c>
    </row>
    <row r="263" spans="1:17">
      <c r="A263" t="s">
        <v>90</v>
      </c>
      <c r="B263" t="s">
        <v>10</v>
      </c>
      <c r="C263" t="s">
        <v>93</v>
      </c>
      <c r="D263" t="s">
        <v>187</v>
      </c>
      <c r="E263" t="s">
        <v>174</v>
      </c>
      <c r="F263" t="s">
        <v>23</v>
      </c>
      <c r="G263">
        <v>3</v>
      </c>
      <c r="H263" s="4" t="s">
        <v>136</v>
      </c>
      <c r="I263" s="4" t="s">
        <v>193</v>
      </c>
      <c r="J263" s="4" t="s">
        <v>35</v>
      </c>
      <c r="K263" t="s">
        <v>60</v>
      </c>
      <c r="L263">
        <v>50</v>
      </c>
      <c r="M263">
        <v>330</v>
      </c>
      <c r="N263">
        <v>260</v>
      </c>
      <c r="O263">
        <v>325</v>
      </c>
      <c r="P263">
        <v>0.86</v>
      </c>
      <c r="Q263">
        <f t="shared" si="10"/>
        <v>1970.9124000000002</v>
      </c>
    </row>
    <row r="264" spans="1:17">
      <c r="A264" t="s">
        <v>90</v>
      </c>
      <c r="B264" t="s">
        <v>10</v>
      </c>
      <c r="C264" t="s">
        <v>93</v>
      </c>
      <c r="D264" t="s">
        <v>188</v>
      </c>
      <c r="E264" t="s">
        <v>174</v>
      </c>
      <c r="F264" t="s">
        <v>23</v>
      </c>
      <c r="G264">
        <v>3</v>
      </c>
      <c r="H264" s="4" t="s">
        <v>136</v>
      </c>
      <c r="I264" s="4" t="s">
        <v>193</v>
      </c>
      <c r="J264" s="4" t="s">
        <v>189</v>
      </c>
      <c r="K264" t="s">
        <v>60</v>
      </c>
      <c r="L264">
        <v>50</v>
      </c>
      <c r="M264">
        <v>330</v>
      </c>
      <c r="N264">
        <v>260</v>
      </c>
      <c r="O264">
        <v>325</v>
      </c>
      <c r="P264">
        <v>0.86</v>
      </c>
      <c r="Q264">
        <f t="shared" si="10"/>
        <v>1970.9124000000002</v>
      </c>
    </row>
    <row r="265" spans="1:17">
      <c r="A265" t="s">
        <v>90</v>
      </c>
      <c r="B265" t="s">
        <v>10</v>
      </c>
      <c r="C265" t="s">
        <v>93</v>
      </c>
      <c r="D265" t="s">
        <v>78</v>
      </c>
      <c r="E265" t="s">
        <v>174</v>
      </c>
      <c r="F265" t="s">
        <v>23</v>
      </c>
      <c r="G265">
        <v>3</v>
      </c>
      <c r="H265" s="4" t="s">
        <v>136</v>
      </c>
      <c r="I265" s="4" t="s">
        <v>193</v>
      </c>
      <c r="J265" s="4" t="s">
        <v>35</v>
      </c>
      <c r="K265" t="s">
        <v>60</v>
      </c>
      <c r="L265">
        <v>50</v>
      </c>
      <c r="M265">
        <v>330</v>
      </c>
      <c r="N265">
        <v>260</v>
      </c>
      <c r="O265">
        <v>325</v>
      </c>
      <c r="P265">
        <v>0.86</v>
      </c>
      <c r="Q265">
        <f t="shared" si="10"/>
        <v>1970.9124000000002</v>
      </c>
    </row>
    <row r="266" spans="1:17">
      <c r="A266" t="s">
        <v>90</v>
      </c>
      <c r="B266" t="s">
        <v>10</v>
      </c>
      <c r="C266" t="s">
        <v>93</v>
      </c>
      <c r="D266" t="s">
        <v>55</v>
      </c>
      <c r="E266" t="s">
        <v>174</v>
      </c>
      <c r="F266" t="s">
        <v>23</v>
      </c>
      <c r="G266">
        <v>3</v>
      </c>
      <c r="H266" s="4" t="s">
        <v>136</v>
      </c>
      <c r="I266" s="4" t="s">
        <v>193</v>
      </c>
      <c r="J266" s="4" t="s">
        <v>35</v>
      </c>
      <c r="K266" t="s">
        <v>60</v>
      </c>
      <c r="L266">
        <v>50</v>
      </c>
      <c r="M266">
        <v>330</v>
      </c>
      <c r="N266">
        <v>260</v>
      </c>
      <c r="O266">
        <v>325</v>
      </c>
      <c r="P266">
        <v>0.86</v>
      </c>
      <c r="Q266">
        <f t="shared" si="10"/>
        <v>1970.9124000000002</v>
      </c>
    </row>
    <row r="267" spans="1:17">
      <c r="A267" t="s">
        <v>90</v>
      </c>
      <c r="B267" t="s">
        <v>10</v>
      </c>
      <c r="C267" t="s">
        <v>93</v>
      </c>
      <c r="D267" t="s">
        <v>175</v>
      </c>
      <c r="E267" t="s">
        <v>85</v>
      </c>
      <c r="F267" t="s">
        <v>87</v>
      </c>
      <c r="G267">
        <v>2</v>
      </c>
      <c r="H267" s="4" t="s">
        <v>35</v>
      </c>
      <c r="I267" s="4" t="s">
        <v>193</v>
      </c>
      <c r="J267" s="4" t="s">
        <v>35</v>
      </c>
      <c r="K267" t="s">
        <v>60</v>
      </c>
      <c r="L267">
        <v>100</v>
      </c>
      <c r="M267">
        <v>320</v>
      </c>
      <c r="N267">
        <v>260</v>
      </c>
      <c r="O267">
        <v>300</v>
      </c>
      <c r="P267">
        <v>0.85</v>
      </c>
      <c r="Q267">
        <f>2.2046*741</f>
        <v>1633.6086</v>
      </c>
    </row>
    <row r="268" spans="1:17">
      <c r="A268" t="s">
        <v>1</v>
      </c>
      <c r="B268" t="s">
        <v>95</v>
      </c>
      <c r="C268" t="s">
        <v>96</v>
      </c>
      <c r="D268" t="s">
        <v>1</v>
      </c>
      <c r="E268" t="s">
        <v>26</v>
      </c>
      <c r="F268" t="s">
        <v>39</v>
      </c>
      <c r="G268">
        <v>3</v>
      </c>
      <c r="H268" s="4" t="s">
        <v>136</v>
      </c>
      <c r="I268" s="4" t="s">
        <v>135</v>
      </c>
      <c r="J268" s="4" t="s">
        <v>135</v>
      </c>
      <c r="K268" t="s">
        <v>22</v>
      </c>
      <c r="L268">
        <v>0</v>
      </c>
      <c r="M268">
        <v>150</v>
      </c>
      <c r="N268">
        <v>210</v>
      </c>
      <c r="O268">
        <v>230</v>
      </c>
      <c r="P268">
        <v>0.55000000000000004</v>
      </c>
      <c r="Q268">
        <v>2400</v>
      </c>
    </row>
    <row r="269" spans="1:17">
      <c r="A269" t="s">
        <v>1</v>
      </c>
      <c r="B269" t="s">
        <v>95</v>
      </c>
      <c r="C269" t="s">
        <v>96</v>
      </c>
      <c r="D269" t="s">
        <v>1</v>
      </c>
      <c r="E269" t="s">
        <v>26</v>
      </c>
      <c r="F269" t="s">
        <v>41</v>
      </c>
      <c r="G269">
        <v>3</v>
      </c>
      <c r="H269" s="4" t="s">
        <v>136</v>
      </c>
      <c r="I269" s="4" t="s">
        <v>135</v>
      </c>
      <c r="J269" s="4" t="s">
        <v>135</v>
      </c>
      <c r="K269" t="s">
        <v>22</v>
      </c>
      <c r="L269">
        <v>0</v>
      </c>
      <c r="M269">
        <v>150</v>
      </c>
      <c r="N269">
        <v>210</v>
      </c>
      <c r="O269">
        <v>230</v>
      </c>
      <c r="P269">
        <v>0.55000000000000004</v>
      </c>
      <c r="Q269">
        <v>2400</v>
      </c>
    </row>
    <row r="270" spans="1:17">
      <c r="A270" t="s">
        <v>1</v>
      </c>
      <c r="B270" t="s">
        <v>95</v>
      </c>
      <c r="C270" t="s">
        <v>96</v>
      </c>
      <c r="D270" t="s">
        <v>1</v>
      </c>
      <c r="E270" t="s">
        <v>27</v>
      </c>
      <c r="F270" t="s">
        <v>22</v>
      </c>
      <c r="G270">
        <v>3</v>
      </c>
      <c r="H270" s="4" t="s">
        <v>136</v>
      </c>
      <c r="I270" s="4" t="s">
        <v>135</v>
      </c>
      <c r="J270" s="4" t="s">
        <v>135</v>
      </c>
      <c r="K270" t="s">
        <v>22</v>
      </c>
      <c r="L270">
        <v>180</v>
      </c>
      <c r="M270">
        <v>300</v>
      </c>
      <c r="N270">
        <v>270</v>
      </c>
      <c r="O270">
        <v>325</v>
      </c>
      <c r="P270">
        <v>0.8</v>
      </c>
      <c r="Q270">
        <v>7000</v>
      </c>
    </row>
    <row r="271" spans="1:17">
      <c r="A271" t="s">
        <v>1</v>
      </c>
      <c r="B271" t="s">
        <v>95</v>
      </c>
      <c r="C271" t="s">
        <v>96</v>
      </c>
      <c r="D271" t="s">
        <v>1</v>
      </c>
      <c r="E271" t="s">
        <v>28</v>
      </c>
      <c r="F271" t="s">
        <v>39</v>
      </c>
      <c r="G271">
        <v>3</v>
      </c>
      <c r="H271" s="4" t="s">
        <v>136</v>
      </c>
      <c r="I271" s="4" t="s">
        <v>135</v>
      </c>
      <c r="J271" s="4" t="s">
        <v>135</v>
      </c>
      <c r="K271" t="s">
        <v>22</v>
      </c>
      <c r="L271">
        <v>100</v>
      </c>
      <c r="M271">
        <v>310</v>
      </c>
      <c r="N271">
        <v>250</v>
      </c>
      <c r="O271">
        <v>280</v>
      </c>
      <c r="P271">
        <v>0.76</v>
      </c>
      <c r="Q271">
        <v>5200</v>
      </c>
    </row>
    <row r="272" spans="1:17">
      <c r="A272" t="s">
        <v>1</v>
      </c>
      <c r="B272" t="s">
        <v>95</v>
      </c>
      <c r="C272" t="s">
        <v>96</v>
      </c>
      <c r="D272" t="s">
        <v>1</v>
      </c>
      <c r="E272" t="s">
        <v>29</v>
      </c>
      <c r="F272" t="s">
        <v>61</v>
      </c>
      <c r="G272">
        <v>3</v>
      </c>
      <c r="H272" s="4" t="s">
        <v>136</v>
      </c>
      <c r="I272" s="4" t="s">
        <v>135</v>
      </c>
      <c r="J272" s="4" t="s">
        <v>135</v>
      </c>
      <c r="K272" t="s">
        <v>22</v>
      </c>
      <c r="L272">
        <v>150</v>
      </c>
      <c r="M272">
        <v>350</v>
      </c>
      <c r="N272">
        <v>250</v>
      </c>
      <c r="O272">
        <v>290</v>
      </c>
      <c r="P272">
        <v>0.8</v>
      </c>
      <c r="Q272">
        <v>6500</v>
      </c>
    </row>
    <row r="273" spans="1:17">
      <c r="A273" t="s">
        <v>1</v>
      </c>
      <c r="B273" t="s">
        <v>95</v>
      </c>
      <c r="C273" t="s">
        <v>96</v>
      </c>
      <c r="D273" t="s">
        <v>1</v>
      </c>
      <c r="E273" t="s">
        <v>137</v>
      </c>
      <c r="F273" t="s">
        <v>82</v>
      </c>
      <c r="G273">
        <v>3</v>
      </c>
      <c r="H273" s="4" t="s">
        <v>136</v>
      </c>
      <c r="I273" s="4" t="s">
        <v>135</v>
      </c>
      <c r="J273" s="4" t="s">
        <v>135</v>
      </c>
      <c r="K273" t="s">
        <v>22</v>
      </c>
      <c r="L273">
        <v>180</v>
      </c>
      <c r="M273">
        <v>300</v>
      </c>
      <c r="N273">
        <v>250</v>
      </c>
      <c r="O273">
        <v>275</v>
      </c>
      <c r="P273">
        <v>0.77</v>
      </c>
      <c r="Q273">
        <v>6800</v>
      </c>
    </row>
    <row r="274" spans="1:17">
      <c r="A274" t="s">
        <v>1</v>
      </c>
      <c r="B274" t="s">
        <v>95</v>
      </c>
      <c r="C274" t="s">
        <v>96</v>
      </c>
      <c r="D274" t="s">
        <v>1</v>
      </c>
      <c r="E274" t="s">
        <v>0</v>
      </c>
      <c r="F274" t="s">
        <v>39</v>
      </c>
      <c r="G274">
        <v>3</v>
      </c>
      <c r="H274" s="4" t="s">
        <v>136</v>
      </c>
      <c r="I274" s="4" t="s">
        <v>135</v>
      </c>
      <c r="J274" s="4" t="s">
        <v>135</v>
      </c>
      <c r="K274" t="s">
        <v>22</v>
      </c>
      <c r="L274">
        <v>50</v>
      </c>
      <c r="M274">
        <v>310</v>
      </c>
      <c r="N274">
        <v>250</v>
      </c>
      <c r="O274">
        <v>295</v>
      </c>
      <c r="P274">
        <v>0.77</v>
      </c>
      <c r="Q274">
        <v>6800</v>
      </c>
    </row>
    <row r="275" spans="1:17">
      <c r="A275" t="s">
        <v>1</v>
      </c>
      <c r="B275" t="s">
        <v>95</v>
      </c>
      <c r="C275" t="s">
        <v>96</v>
      </c>
      <c r="D275" t="s">
        <v>1</v>
      </c>
      <c r="E275" t="s">
        <v>138</v>
      </c>
      <c r="F275" t="s">
        <v>22</v>
      </c>
      <c r="G275">
        <v>3</v>
      </c>
      <c r="H275" s="4" t="s">
        <v>136</v>
      </c>
      <c r="I275" s="4" t="s">
        <v>135</v>
      </c>
      <c r="J275" s="4" t="s">
        <v>135</v>
      </c>
      <c r="K275" t="s">
        <v>22</v>
      </c>
      <c r="L275">
        <v>150</v>
      </c>
      <c r="M275">
        <v>300</v>
      </c>
      <c r="N275">
        <v>260</v>
      </c>
      <c r="O275">
        <v>290</v>
      </c>
      <c r="P275">
        <v>0.84</v>
      </c>
      <c r="Q275">
        <v>6000</v>
      </c>
    </row>
    <row r="276" spans="1:17">
      <c r="A276" t="s">
        <v>1</v>
      </c>
      <c r="B276" t="s">
        <v>95</v>
      </c>
      <c r="C276" t="s">
        <v>96</v>
      </c>
      <c r="D276" t="s">
        <v>1</v>
      </c>
      <c r="E276" t="s">
        <v>139</v>
      </c>
      <c r="F276" t="s">
        <v>70</v>
      </c>
      <c r="G276">
        <v>3</v>
      </c>
      <c r="H276" s="4" t="s">
        <v>136</v>
      </c>
      <c r="I276" s="4" t="s">
        <v>135</v>
      </c>
      <c r="J276" s="4" t="s">
        <v>135</v>
      </c>
      <c r="K276" t="s">
        <v>22</v>
      </c>
      <c r="L276">
        <v>50</v>
      </c>
      <c r="M276">
        <v>160</v>
      </c>
      <c r="N276">
        <v>180</v>
      </c>
      <c r="O276">
        <v>220</v>
      </c>
      <c r="P276">
        <v>0.9</v>
      </c>
      <c r="Q276">
        <v>3800</v>
      </c>
    </row>
    <row r="277" spans="1:17">
      <c r="A277" t="s">
        <v>1</v>
      </c>
      <c r="B277" t="s">
        <v>95</v>
      </c>
      <c r="C277" t="s">
        <v>96</v>
      </c>
      <c r="D277" t="s">
        <v>1</v>
      </c>
      <c r="E277" t="s">
        <v>139</v>
      </c>
      <c r="F277" t="s">
        <v>61</v>
      </c>
      <c r="G277">
        <v>3</v>
      </c>
      <c r="H277" s="4" t="s">
        <v>136</v>
      </c>
      <c r="I277" s="4" t="s">
        <v>135</v>
      </c>
      <c r="J277" s="4" t="s">
        <v>135</v>
      </c>
      <c r="K277" t="s">
        <v>22</v>
      </c>
      <c r="L277">
        <v>50</v>
      </c>
      <c r="M277">
        <v>160</v>
      </c>
      <c r="N277">
        <v>180</v>
      </c>
      <c r="O277">
        <v>220</v>
      </c>
      <c r="P277">
        <v>0.9</v>
      </c>
      <c r="Q277">
        <v>3800</v>
      </c>
    </row>
    <row r="278" spans="1:17">
      <c r="A278" t="s">
        <v>1</v>
      </c>
      <c r="B278" t="s">
        <v>95</v>
      </c>
      <c r="C278" t="s">
        <v>96</v>
      </c>
      <c r="D278" t="s">
        <v>1</v>
      </c>
      <c r="E278" t="s">
        <v>139</v>
      </c>
      <c r="F278" t="s">
        <v>60</v>
      </c>
      <c r="G278">
        <v>3</v>
      </c>
      <c r="H278" s="4" t="s">
        <v>136</v>
      </c>
      <c r="I278" s="4" t="s">
        <v>135</v>
      </c>
      <c r="J278" s="4" t="s">
        <v>135</v>
      </c>
      <c r="K278" t="s">
        <v>22</v>
      </c>
      <c r="L278">
        <v>50</v>
      </c>
      <c r="M278">
        <v>160</v>
      </c>
      <c r="N278">
        <v>180</v>
      </c>
      <c r="O278">
        <v>220</v>
      </c>
      <c r="P278">
        <v>0.9</v>
      </c>
      <c r="Q278">
        <v>3800</v>
      </c>
    </row>
    <row r="279" spans="1:17">
      <c r="A279" t="s">
        <v>1</v>
      </c>
      <c r="B279" t="s">
        <v>95</v>
      </c>
      <c r="C279" t="s">
        <v>96</v>
      </c>
      <c r="D279" t="s">
        <v>1</v>
      </c>
      <c r="E279" t="s">
        <v>139</v>
      </c>
      <c r="F279" t="s">
        <v>140</v>
      </c>
      <c r="G279">
        <v>3</v>
      </c>
      <c r="H279" s="4" t="s">
        <v>136</v>
      </c>
      <c r="I279" s="4" t="s">
        <v>135</v>
      </c>
      <c r="J279" s="4" t="s">
        <v>135</v>
      </c>
      <c r="K279" t="s">
        <v>22</v>
      </c>
      <c r="L279">
        <v>50</v>
      </c>
      <c r="M279">
        <v>160</v>
      </c>
      <c r="N279">
        <v>180</v>
      </c>
      <c r="O279">
        <v>220</v>
      </c>
      <c r="P279">
        <v>0.9</v>
      </c>
      <c r="Q279">
        <v>3800</v>
      </c>
    </row>
    <row r="280" spans="1:17">
      <c r="A280" t="s">
        <v>1</v>
      </c>
      <c r="B280" t="s">
        <v>95</v>
      </c>
      <c r="C280" t="s">
        <v>96</v>
      </c>
      <c r="D280" t="s">
        <v>1</v>
      </c>
      <c r="E280" t="s">
        <v>139</v>
      </c>
      <c r="F280" t="s">
        <v>42</v>
      </c>
      <c r="G280">
        <v>3</v>
      </c>
      <c r="H280" s="4" t="s">
        <v>136</v>
      </c>
      <c r="I280" s="4" t="s">
        <v>135</v>
      </c>
      <c r="J280" s="4" t="s">
        <v>135</v>
      </c>
      <c r="K280" t="s">
        <v>22</v>
      </c>
      <c r="L280">
        <v>50</v>
      </c>
      <c r="M280">
        <v>160</v>
      </c>
      <c r="N280">
        <v>180</v>
      </c>
      <c r="O280">
        <v>220</v>
      </c>
      <c r="P280">
        <v>0.9</v>
      </c>
      <c r="Q280">
        <v>3800</v>
      </c>
    </row>
    <row r="281" spans="1:17">
      <c r="A281" t="s">
        <v>1</v>
      </c>
      <c r="B281" t="s">
        <v>95</v>
      </c>
      <c r="C281" t="s">
        <v>96</v>
      </c>
      <c r="D281" t="s">
        <v>1</v>
      </c>
      <c r="E281" t="s">
        <v>141</v>
      </c>
      <c r="F281" t="s">
        <v>42</v>
      </c>
      <c r="G281">
        <v>3</v>
      </c>
      <c r="H281" s="4" t="s">
        <v>136</v>
      </c>
      <c r="I281" s="4" t="s">
        <v>135</v>
      </c>
      <c r="J281" s="4" t="s">
        <v>135</v>
      </c>
      <c r="K281" t="s">
        <v>22</v>
      </c>
      <c r="L281">
        <v>50</v>
      </c>
      <c r="M281">
        <v>160</v>
      </c>
      <c r="N281">
        <v>180</v>
      </c>
      <c r="O281">
        <v>220</v>
      </c>
      <c r="P281">
        <v>0.9</v>
      </c>
      <c r="Q281">
        <v>3800</v>
      </c>
    </row>
    <row r="282" spans="1:17">
      <c r="A282" t="s">
        <v>1</v>
      </c>
      <c r="B282" t="s">
        <v>95</v>
      </c>
      <c r="C282" t="s">
        <v>96</v>
      </c>
      <c r="D282" t="s">
        <v>1</v>
      </c>
      <c r="E282" t="s">
        <v>142</v>
      </c>
      <c r="F282" t="s">
        <v>42</v>
      </c>
      <c r="G282">
        <v>3</v>
      </c>
      <c r="H282" s="4" t="s">
        <v>136</v>
      </c>
      <c r="I282" s="4" t="s">
        <v>135</v>
      </c>
      <c r="J282" s="4" t="s">
        <v>135</v>
      </c>
      <c r="K282" t="s">
        <v>22</v>
      </c>
      <c r="L282">
        <v>50</v>
      </c>
      <c r="M282">
        <v>160</v>
      </c>
      <c r="N282">
        <v>180</v>
      </c>
      <c r="O282">
        <v>220</v>
      </c>
      <c r="P282">
        <v>0.9</v>
      </c>
      <c r="Q282">
        <v>3800</v>
      </c>
    </row>
    <row r="283" spans="1:17">
      <c r="A283" t="s">
        <v>1</v>
      </c>
      <c r="B283" t="s">
        <v>95</v>
      </c>
      <c r="C283" t="s">
        <v>96</v>
      </c>
      <c r="D283" t="s">
        <v>1</v>
      </c>
      <c r="E283" t="s">
        <v>143</v>
      </c>
      <c r="F283" t="s">
        <v>42</v>
      </c>
      <c r="G283">
        <v>3</v>
      </c>
      <c r="H283" s="4" t="s">
        <v>136</v>
      </c>
      <c r="I283" s="4" t="s">
        <v>135</v>
      </c>
      <c r="J283" s="4" t="s">
        <v>135</v>
      </c>
      <c r="K283" t="s">
        <v>22</v>
      </c>
      <c r="L283">
        <v>50</v>
      </c>
      <c r="M283">
        <v>160</v>
      </c>
      <c r="N283">
        <v>180</v>
      </c>
      <c r="O283">
        <v>220</v>
      </c>
      <c r="P283">
        <v>0.9</v>
      </c>
      <c r="Q283">
        <v>3800</v>
      </c>
    </row>
    <row r="284" spans="1:17">
      <c r="A284" t="s">
        <v>1</v>
      </c>
      <c r="B284" t="s">
        <v>95</v>
      </c>
      <c r="C284" t="s">
        <v>96</v>
      </c>
      <c r="D284" t="s">
        <v>1</v>
      </c>
      <c r="E284" t="s">
        <v>95</v>
      </c>
      <c r="F284" t="s">
        <v>98</v>
      </c>
      <c r="G284">
        <v>3</v>
      </c>
      <c r="H284" s="4" t="s">
        <v>136</v>
      </c>
      <c r="I284" s="4" t="s">
        <v>135</v>
      </c>
      <c r="J284" s="4" t="s">
        <v>135</v>
      </c>
      <c r="K284" t="s">
        <v>22</v>
      </c>
      <c r="L284">
        <v>150</v>
      </c>
      <c r="M284">
        <v>300</v>
      </c>
      <c r="N284">
        <v>250</v>
      </c>
      <c r="O284">
        <v>300</v>
      </c>
      <c r="P284">
        <v>0.8</v>
      </c>
      <c r="Q284">
        <v>5000</v>
      </c>
    </row>
    <row r="285" spans="1:17">
      <c r="A285" t="s">
        <v>1</v>
      </c>
      <c r="B285" t="s">
        <v>95</v>
      </c>
      <c r="C285" t="s">
        <v>96</v>
      </c>
      <c r="D285" t="s">
        <v>1</v>
      </c>
      <c r="E285" t="s">
        <v>95</v>
      </c>
      <c r="F285" t="s">
        <v>96</v>
      </c>
      <c r="G285">
        <v>3</v>
      </c>
      <c r="H285" s="4" t="s">
        <v>136</v>
      </c>
      <c r="I285" s="4" t="s">
        <v>135</v>
      </c>
      <c r="J285" s="4" t="s">
        <v>135</v>
      </c>
      <c r="K285" t="s">
        <v>22</v>
      </c>
      <c r="L285">
        <v>150</v>
      </c>
      <c r="M285">
        <v>300</v>
      </c>
      <c r="N285">
        <v>250</v>
      </c>
      <c r="O285">
        <v>300</v>
      </c>
      <c r="P285">
        <v>0.8</v>
      </c>
      <c r="Q285">
        <v>5000</v>
      </c>
    </row>
    <row r="286" spans="1:17">
      <c r="A286" t="s">
        <v>1</v>
      </c>
      <c r="B286" t="s">
        <v>95</v>
      </c>
      <c r="C286" t="s">
        <v>96</v>
      </c>
      <c r="D286" t="s">
        <v>1</v>
      </c>
      <c r="E286" t="s">
        <v>144</v>
      </c>
      <c r="F286" t="s">
        <v>22</v>
      </c>
      <c r="G286">
        <v>3</v>
      </c>
      <c r="H286" s="4" t="s">
        <v>136</v>
      </c>
      <c r="I286" s="4" t="s">
        <v>135</v>
      </c>
      <c r="J286" s="4" t="s">
        <v>135</v>
      </c>
      <c r="K286" t="s">
        <v>22</v>
      </c>
      <c r="L286">
        <v>150</v>
      </c>
      <c r="M286">
        <v>300</v>
      </c>
      <c r="N286">
        <v>250</v>
      </c>
      <c r="O286">
        <v>300</v>
      </c>
      <c r="P286">
        <v>0.8</v>
      </c>
      <c r="Q286">
        <v>5000</v>
      </c>
    </row>
    <row r="287" spans="1:17">
      <c r="A287" t="s">
        <v>1</v>
      </c>
      <c r="B287" t="s">
        <v>95</v>
      </c>
      <c r="C287" t="s">
        <v>96</v>
      </c>
      <c r="D287" t="s">
        <v>1</v>
      </c>
      <c r="E287" t="s">
        <v>145</v>
      </c>
      <c r="F287" t="s">
        <v>22</v>
      </c>
      <c r="G287">
        <v>3</v>
      </c>
      <c r="H287" s="4" t="s">
        <v>136</v>
      </c>
      <c r="I287" s="4" t="s">
        <v>135</v>
      </c>
      <c r="J287" s="4" t="s">
        <v>135</v>
      </c>
      <c r="K287" t="s">
        <v>22</v>
      </c>
      <c r="L287">
        <v>150</v>
      </c>
      <c r="M287">
        <v>300</v>
      </c>
      <c r="N287">
        <v>250</v>
      </c>
      <c r="O287">
        <v>300</v>
      </c>
      <c r="P287">
        <v>0.8</v>
      </c>
      <c r="Q287">
        <v>5000</v>
      </c>
    </row>
    <row r="288" spans="1:17">
      <c r="A288" t="s">
        <v>1</v>
      </c>
      <c r="B288" t="s">
        <v>95</v>
      </c>
      <c r="C288" t="s">
        <v>96</v>
      </c>
      <c r="D288" t="s">
        <v>1</v>
      </c>
      <c r="E288" t="s">
        <v>145</v>
      </c>
      <c r="F288" t="s">
        <v>146</v>
      </c>
      <c r="G288">
        <v>3</v>
      </c>
      <c r="H288" s="4" t="s">
        <v>136</v>
      </c>
      <c r="I288" s="4" t="s">
        <v>135</v>
      </c>
      <c r="J288" s="4" t="s">
        <v>135</v>
      </c>
      <c r="K288" t="s">
        <v>22</v>
      </c>
      <c r="L288">
        <v>150</v>
      </c>
      <c r="M288">
        <v>300</v>
      </c>
      <c r="N288">
        <v>250</v>
      </c>
      <c r="O288">
        <v>300</v>
      </c>
      <c r="P288">
        <v>0.8</v>
      </c>
      <c r="Q288">
        <v>5000</v>
      </c>
    </row>
    <row r="289" spans="1:17">
      <c r="A289" t="s">
        <v>1</v>
      </c>
      <c r="B289" t="s">
        <v>95</v>
      </c>
      <c r="C289" t="s">
        <v>96</v>
      </c>
      <c r="D289" t="s">
        <v>1</v>
      </c>
      <c r="E289" t="s">
        <v>145</v>
      </c>
      <c r="F289" t="s">
        <v>140</v>
      </c>
      <c r="G289">
        <v>3</v>
      </c>
      <c r="H289" s="4" t="s">
        <v>136</v>
      </c>
      <c r="I289" s="4" t="s">
        <v>135</v>
      </c>
      <c r="J289" s="4" t="s">
        <v>135</v>
      </c>
      <c r="K289" t="s">
        <v>22</v>
      </c>
      <c r="L289">
        <v>150</v>
      </c>
      <c r="M289">
        <v>300</v>
      </c>
      <c r="N289">
        <v>250</v>
      </c>
      <c r="O289">
        <v>300</v>
      </c>
      <c r="P289">
        <v>0.8</v>
      </c>
      <c r="Q289">
        <v>5000</v>
      </c>
    </row>
    <row r="290" spans="1:17">
      <c r="A290" t="s">
        <v>1</v>
      </c>
      <c r="B290" t="s">
        <v>95</v>
      </c>
      <c r="C290" t="s">
        <v>96</v>
      </c>
      <c r="D290" t="s">
        <v>1</v>
      </c>
      <c r="E290" t="s">
        <v>145</v>
      </c>
      <c r="F290" t="s">
        <v>147</v>
      </c>
      <c r="G290">
        <v>3</v>
      </c>
      <c r="H290" s="4" t="s">
        <v>136</v>
      </c>
      <c r="I290" s="4" t="s">
        <v>135</v>
      </c>
      <c r="J290" s="4" t="s">
        <v>135</v>
      </c>
      <c r="K290" t="s">
        <v>22</v>
      </c>
      <c r="L290">
        <v>150</v>
      </c>
      <c r="M290">
        <v>300</v>
      </c>
      <c r="N290">
        <v>250</v>
      </c>
      <c r="O290">
        <v>300</v>
      </c>
      <c r="P290">
        <v>0.8</v>
      </c>
      <c r="Q290">
        <v>5000</v>
      </c>
    </row>
    <row r="291" spans="1:17">
      <c r="A291" t="s">
        <v>1</v>
      </c>
      <c r="B291" t="s">
        <v>95</v>
      </c>
      <c r="C291" t="s">
        <v>96</v>
      </c>
      <c r="D291" t="s">
        <v>1</v>
      </c>
      <c r="E291" t="s">
        <v>145</v>
      </c>
      <c r="F291" t="s">
        <v>148</v>
      </c>
      <c r="G291">
        <v>3</v>
      </c>
      <c r="H291" s="4" t="s">
        <v>136</v>
      </c>
      <c r="I291" s="4" t="s">
        <v>135</v>
      </c>
      <c r="J291" s="4" t="s">
        <v>135</v>
      </c>
      <c r="K291" t="s">
        <v>22</v>
      </c>
      <c r="L291">
        <v>150</v>
      </c>
      <c r="M291">
        <v>300</v>
      </c>
      <c r="N291">
        <v>250</v>
      </c>
      <c r="O291">
        <v>300</v>
      </c>
      <c r="P291">
        <v>0.8</v>
      </c>
      <c r="Q291">
        <v>5000</v>
      </c>
    </row>
    <row r="292" spans="1:17">
      <c r="A292" t="s">
        <v>1</v>
      </c>
      <c r="B292" t="s">
        <v>95</v>
      </c>
      <c r="C292" t="s">
        <v>96</v>
      </c>
      <c r="D292" t="s">
        <v>1</v>
      </c>
      <c r="E292" t="s">
        <v>149</v>
      </c>
      <c r="F292" t="s">
        <v>146</v>
      </c>
      <c r="G292">
        <v>3</v>
      </c>
      <c r="H292" s="4" t="s">
        <v>136</v>
      </c>
      <c r="I292" s="4" t="s">
        <v>135</v>
      </c>
      <c r="J292" s="4" t="s">
        <v>135</v>
      </c>
      <c r="K292" t="s">
        <v>22</v>
      </c>
      <c r="L292">
        <v>150</v>
      </c>
      <c r="M292">
        <v>300</v>
      </c>
      <c r="N292">
        <v>250</v>
      </c>
      <c r="O292">
        <v>300</v>
      </c>
      <c r="P292">
        <v>0.8</v>
      </c>
      <c r="Q292">
        <v>5000</v>
      </c>
    </row>
    <row r="293" spans="1:17">
      <c r="A293" t="s">
        <v>1</v>
      </c>
      <c r="B293" t="s">
        <v>95</v>
      </c>
      <c r="C293" t="s">
        <v>96</v>
      </c>
      <c r="D293" t="s">
        <v>1</v>
      </c>
      <c r="E293" t="s">
        <v>149</v>
      </c>
      <c r="F293" t="s">
        <v>148</v>
      </c>
      <c r="G293">
        <v>3</v>
      </c>
      <c r="H293" s="4" t="s">
        <v>136</v>
      </c>
      <c r="I293" s="4" t="s">
        <v>135</v>
      </c>
      <c r="J293" s="4" t="s">
        <v>135</v>
      </c>
      <c r="K293" t="s">
        <v>22</v>
      </c>
      <c r="L293">
        <v>150</v>
      </c>
      <c r="M293">
        <v>300</v>
      </c>
      <c r="N293">
        <v>250</v>
      </c>
      <c r="O293">
        <v>300</v>
      </c>
      <c r="P293">
        <v>0.8</v>
      </c>
      <c r="Q293">
        <v>5000</v>
      </c>
    </row>
    <row r="294" spans="1:17">
      <c r="A294" t="s">
        <v>1</v>
      </c>
      <c r="B294" t="s">
        <v>95</v>
      </c>
      <c r="C294" t="s">
        <v>96</v>
      </c>
      <c r="D294" t="s">
        <v>1</v>
      </c>
      <c r="E294" t="s">
        <v>150</v>
      </c>
      <c r="F294" t="s">
        <v>96</v>
      </c>
      <c r="G294">
        <v>3</v>
      </c>
      <c r="H294" s="4" t="s">
        <v>136</v>
      </c>
      <c r="I294" s="4" t="s">
        <v>135</v>
      </c>
      <c r="J294" s="4" t="s">
        <v>135</v>
      </c>
      <c r="K294" t="s">
        <v>22</v>
      </c>
      <c r="L294">
        <v>150</v>
      </c>
      <c r="M294">
        <v>300</v>
      </c>
      <c r="N294">
        <v>250</v>
      </c>
      <c r="O294">
        <v>300</v>
      </c>
      <c r="P294">
        <v>0.8</v>
      </c>
      <c r="Q294">
        <v>5000</v>
      </c>
    </row>
    <row r="295" spans="1:17">
      <c r="A295" t="s">
        <v>1</v>
      </c>
      <c r="B295" t="s">
        <v>95</v>
      </c>
      <c r="C295" t="s">
        <v>96</v>
      </c>
      <c r="D295" t="s">
        <v>1</v>
      </c>
      <c r="E295" t="s">
        <v>151</v>
      </c>
      <c r="F295" t="s">
        <v>39</v>
      </c>
      <c r="G295">
        <v>3</v>
      </c>
      <c r="H295" s="4" t="s">
        <v>136</v>
      </c>
      <c r="I295" s="4" t="s">
        <v>135</v>
      </c>
      <c r="J295" s="4" t="s">
        <v>135</v>
      </c>
      <c r="K295" t="s">
        <v>22</v>
      </c>
      <c r="L295">
        <v>100</v>
      </c>
      <c r="M295">
        <v>290</v>
      </c>
      <c r="N295">
        <v>260</v>
      </c>
      <c r="O295">
        <v>280</v>
      </c>
      <c r="P295">
        <v>0.74</v>
      </c>
      <c r="Q295">
        <v>6600</v>
      </c>
    </row>
    <row r="296" spans="1:17">
      <c r="A296" t="s">
        <v>1</v>
      </c>
      <c r="B296" t="s">
        <v>95</v>
      </c>
      <c r="C296" t="s">
        <v>96</v>
      </c>
      <c r="D296" t="s">
        <v>1</v>
      </c>
      <c r="E296" t="s">
        <v>151</v>
      </c>
      <c r="F296" t="s">
        <v>22</v>
      </c>
      <c r="G296">
        <v>3</v>
      </c>
      <c r="H296" s="4" t="s">
        <v>136</v>
      </c>
      <c r="I296" s="4" t="s">
        <v>135</v>
      </c>
      <c r="J296" s="4" t="s">
        <v>135</v>
      </c>
      <c r="K296" t="s">
        <v>22</v>
      </c>
      <c r="L296">
        <v>100</v>
      </c>
      <c r="M296">
        <v>290</v>
      </c>
      <c r="N296">
        <v>260</v>
      </c>
      <c r="O296">
        <v>280</v>
      </c>
      <c r="P296">
        <v>0.74</v>
      </c>
      <c r="Q296">
        <v>6600</v>
      </c>
    </row>
    <row r="297" spans="1:17">
      <c r="A297" t="s">
        <v>1</v>
      </c>
      <c r="B297" t="s">
        <v>95</v>
      </c>
      <c r="C297" t="s">
        <v>96</v>
      </c>
      <c r="D297" t="s">
        <v>1</v>
      </c>
      <c r="E297" t="s">
        <v>151</v>
      </c>
      <c r="F297" t="s">
        <v>41</v>
      </c>
      <c r="G297">
        <v>3</v>
      </c>
      <c r="H297" s="4" t="s">
        <v>136</v>
      </c>
      <c r="I297" s="4" t="s">
        <v>135</v>
      </c>
      <c r="J297" s="4" t="s">
        <v>135</v>
      </c>
      <c r="K297" t="s">
        <v>22</v>
      </c>
      <c r="L297">
        <v>100</v>
      </c>
      <c r="M297">
        <v>290</v>
      </c>
      <c r="N297">
        <v>260</v>
      </c>
      <c r="O297">
        <v>280</v>
      </c>
      <c r="P297">
        <v>0.74</v>
      </c>
      <c r="Q297">
        <v>6600</v>
      </c>
    </row>
    <row r="298" spans="1:17">
      <c r="A298" t="s">
        <v>1</v>
      </c>
      <c r="B298" t="s">
        <v>95</v>
      </c>
      <c r="C298" t="s">
        <v>96</v>
      </c>
      <c r="D298" t="s">
        <v>1</v>
      </c>
      <c r="E298" t="s">
        <v>151</v>
      </c>
      <c r="F298" t="s">
        <v>23</v>
      </c>
      <c r="G298">
        <v>3</v>
      </c>
      <c r="H298" s="4" t="s">
        <v>136</v>
      </c>
      <c r="I298" s="4" t="s">
        <v>135</v>
      </c>
      <c r="J298" s="4" t="s">
        <v>135</v>
      </c>
      <c r="K298" t="s">
        <v>22</v>
      </c>
      <c r="L298">
        <v>100</v>
      </c>
      <c r="M298">
        <v>290</v>
      </c>
      <c r="N298">
        <v>260</v>
      </c>
      <c r="O298">
        <v>280</v>
      </c>
      <c r="P298">
        <v>0.74</v>
      </c>
      <c r="Q298">
        <v>6600</v>
      </c>
    </row>
    <row r="299" spans="1:17">
      <c r="A299" t="s">
        <v>1</v>
      </c>
      <c r="B299" t="s">
        <v>95</v>
      </c>
      <c r="C299" t="s">
        <v>96</v>
      </c>
      <c r="D299" t="s">
        <v>1</v>
      </c>
      <c r="E299" t="s">
        <v>151</v>
      </c>
      <c r="F299" t="s">
        <v>71</v>
      </c>
      <c r="G299">
        <v>3</v>
      </c>
      <c r="H299" s="4" t="s">
        <v>136</v>
      </c>
      <c r="I299" s="4" t="s">
        <v>135</v>
      </c>
      <c r="J299" s="4" t="s">
        <v>135</v>
      </c>
      <c r="K299" t="s">
        <v>22</v>
      </c>
      <c r="L299">
        <v>100</v>
      </c>
      <c r="M299">
        <v>290</v>
      </c>
      <c r="N299">
        <v>260</v>
      </c>
      <c r="O299">
        <v>280</v>
      </c>
      <c r="P299">
        <v>0.74</v>
      </c>
      <c r="Q299">
        <v>6600</v>
      </c>
    </row>
    <row r="300" spans="1:17">
      <c r="A300" t="s">
        <v>1</v>
      </c>
      <c r="B300" t="s">
        <v>95</v>
      </c>
      <c r="C300" t="s">
        <v>96</v>
      </c>
      <c r="D300" t="s">
        <v>1</v>
      </c>
      <c r="E300" t="s">
        <v>151</v>
      </c>
      <c r="F300" t="s">
        <v>40</v>
      </c>
      <c r="G300">
        <v>3</v>
      </c>
      <c r="H300" s="4" t="s">
        <v>136</v>
      </c>
      <c r="I300" s="4" t="s">
        <v>135</v>
      </c>
      <c r="J300" s="4" t="s">
        <v>135</v>
      </c>
      <c r="K300" t="s">
        <v>22</v>
      </c>
      <c r="L300">
        <v>100</v>
      </c>
      <c r="M300">
        <v>290</v>
      </c>
      <c r="N300">
        <v>260</v>
      </c>
      <c r="O300">
        <v>280</v>
      </c>
      <c r="P300">
        <v>0.74</v>
      </c>
      <c r="Q300">
        <v>6600</v>
      </c>
    </row>
    <row r="301" spans="1:17">
      <c r="A301" t="s">
        <v>1</v>
      </c>
      <c r="B301" t="s">
        <v>95</v>
      </c>
      <c r="C301" t="s">
        <v>96</v>
      </c>
      <c r="D301" t="s">
        <v>1</v>
      </c>
      <c r="E301" t="s">
        <v>152</v>
      </c>
      <c r="F301" t="s">
        <v>22</v>
      </c>
      <c r="G301">
        <v>3</v>
      </c>
      <c r="H301" s="4" t="s">
        <v>136</v>
      </c>
      <c r="I301" s="4" t="s">
        <v>135</v>
      </c>
      <c r="J301" s="4" t="s">
        <v>135</v>
      </c>
      <c r="K301" t="s">
        <v>22</v>
      </c>
      <c r="L301">
        <v>100</v>
      </c>
      <c r="M301">
        <v>290</v>
      </c>
      <c r="N301">
        <v>260</v>
      </c>
      <c r="O301">
        <v>280</v>
      </c>
      <c r="P301">
        <v>0.74</v>
      </c>
      <c r="Q301">
        <v>6600</v>
      </c>
    </row>
    <row r="302" spans="1:17">
      <c r="A302" t="s">
        <v>1</v>
      </c>
      <c r="B302" t="s">
        <v>95</v>
      </c>
      <c r="C302" t="s">
        <v>96</v>
      </c>
      <c r="D302" t="s">
        <v>1</v>
      </c>
      <c r="E302" t="s">
        <v>153</v>
      </c>
      <c r="F302" t="s">
        <v>39</v>
      </c>
      <c r="G302">
        <v>3</v>
      </c>
      <c r="H302" s="4" t="s">
        <v>136</v>
      </c>
      <c r="I302" s="4" t="s">
        <v>135</v>
      </c>
      <c r="J302" s="4" t="s">
        <v>135</v>
      </c>
      <c r="K302" t="s">
        <v>22</v>
      </c>
      <c r="L302">
        <v>100</v>
      </c>
      <c r="M302">
        <v>290</v>
      </c>
      <c r="N302">
        <v>260</v>
      </c>
      <c r="O302">
        <v>280</v>
      </c>
      <c r="P302">
        <v>0.74</v>
      </c>
      <c r="Q302">
        <v>6600</v>
      </c>
    </row>
    <row r="303" spans="1:17">
      <c r="A303" t="s">
        <v>1</v>
      </c>
      <c r="B303" t="s">
        <v>95</v>
      </c>
      <c r="C303" t="s">
        <v>96</v>
      </c>
      <c r="D303" t="s">
        <v>1</v>
      </c>
      <c r="E303" t="s">
        <v>154</v>
      </c>
      <c r="F303" t="s">
        <v>41</v>
      </c>
      <c r="G303">
        <v>3</v>
      </c>
      <c r="H303" s="4" t="s">
        <v>136</v>
      </c>
      <c r="I303" s="4" t="s">
        <v>135</v>
      </c>
      <c r="J303" s="4" t="s">
        <v>135</v>
      </c>
      <c r="K303" t="s">
        <v>22</v>
      </c>
      <c r="L303">
        <v>100</v>
      </c>
      <c r="M303">
        <v>290</v>
      </c>
      <c r="N303">
        <v>260</v>
      </c>
      <c r="O303">
        <v>280</v>
      </c>
      <c r="P303">
        <v>0.74</v>
      </c>
      <c r="Q303">
        <v>6600</v>
      </c>
    </row>
    <row r="304" spans="1:17">
      <c r="A304" t="s">
        <v>1</v>
      </c>
      <c r="B304" t="s">
        <v>95</v>
      </c>
      <c r="C304" t="s">
        <v>96</v>
      </c>
      <c r="D304" t="s">
        <v>1</v>
      </c>
      <c r="E304" t="s">
        <v>155</v>
      </c>
      <c r="F304" t="s">
        <v>22</v>
      </c>
      <c r="G304">
        <v>3</v>
      </c>
      <c r="H304" s="4" t="s">
        <v>136</v>
      </c>
      <c r="I304" s="4" t="s">
        <v>135</v>
      </c>
      <c r="J304" s="4" t="s">
        <v>135</v>
      </c>
      <c r="K304" t="s">
        <v>22</v>
      </c>
      <c r="L304">
        <v>200</v>
      </c>
      <c r="M304">
        <v>300</v>
      </c>
      <c r="N304">
        <v>250</v>
      </c>
      <c r="O304">
        <v>300</v>
      </c>
      <c r="P304">
        <v>0.82</v>
      </c>
      <c r="Q304">
        <v>6500</v>
      </c>
    </row>
    <row r="305" spans="1:17">
      <c r="A305" t="s">
        <v>1</v>
      </c>
      <c r="B305" t="s">
        <v>95</v>
      </c>
      <c r="C305" t="s">
        <v>96</v>
      </c>
      <c r="D305" t="s">
        <v>1</v>
      </c>
      <c r="E305" t="s">
        <v>156</v>
      </c>
      <c r="F305" t="s">
        <v>39</v>
      </c>
      <c r="G305">
        <v>3</v>
      </c>
      <c r="H305" s="4" t="s">
        <v>136</v>
      </c>
      <c r="I305" s="4" t="s">
        <v>135</v>
      </c>
      <c r="J305" s="4" t="s">
        <v>135</v>
      </c>
      <c r="K305" t="s">
        <v>22</v>
      </c>
      <c r="L305">
        <v>200</v>
      </c>
      <c r="M305">
        <v>300</v>
      </c>
      <c r="N305">
        <v>250</v>
      </c>
      <c r="O305">
        <v>300</v>
      </c>
      <c r="P305">
        <v>0.82</v>
      </c>
      <c r="Q305">
        <v>6500</v>
      </c>
    </row>
    <row r="306" spans="1:17">
      <c r="A306" t="s">
        <v>1</v>
      </c>
      <c r="B306" t="s">
        <v>95</v>
      </c>
      <c r="C306" t="s">
        <v>96</v>
      </c>
      <c r="D306" t="s">
        <v>130</v>
      </c>
      <c r="E306" t="s">
        <v>19</v>
      </c>
      <c r="F306" t="s">
        <v>98</v>
      </c>
      <c r="G306">
        <v>3</v>
      </c>
      <c r="H306" s="4" t="s">
        <v>136</v>
      </c>
      <c r="I306" s="4" t="s">
        <v>135</v>
      </c>
      <c r="J306" s="4" t="s">
        <v>164</v>
      </c>
      <c r="K306" t="s">
        <v>22</v>
      </c>
      <c r="L306">
        <v>200</v>
      </c>
      <c r="M306">
        <v>300</v>
      </c>
      <c r="N306">
        <v>250</v>
      </c>
      <c r="O306">
        <v>290</v>
      </c>
      <c r="P306">
        <v>0.72</v>
      </c>
      <c r="Q306">
        <v>3000</v>
      </c>
    </row>
    <row r="307" spans="1:17">
      <c r="A307" t="s">
        <v>1</v>
      </c>
      <c r="B307" t="s">
        <v>95</v>
      </c>
      <c r="C307" t="s">
        <v>96</v>
      </c>
      <c r="D307" t="s">
        <v>37</v>
      </c>
      <c r="E307" t="s">
        <v>56</v>
      </c>
      <c r="F307" t="s">
        <v>39</v>
      </c>
      <c r="G307">
        <v>3</v>
      </c>
      <c r="H307" s="4" t="s">
        <v>136</v>
      </c>
      <c r="I307" s="4" t="s">
        <v>135</v>
      </c>
      <c r="J307" s="4" t="s">
        <v>163</v>
      </c>
      <c r="K307" t="s">
        <v>22</v>
      </c>
      <c r="L307">
        <v>100</v>
      </c>
      <c r="M307">
        <v>300</v>
      </c>
      <c r="N307">
        <v>275</v>
      </c>
      <c r="O307">
        <v>310</v>
      </c>
      <c r="P307">
        <v>0.9</v>
      </c>
      <c r="Q307">
        <v>2500</v>
      </c>
    </row>
    <row r="308" spans="1:17">
      <c r="A308" t="s">
        <v>1</v>
      </c>
      <c r="B308" t="s">
        <v>95</v>
      </c>
      <c r="C308" t="s">
        <v>96</v>
      </c>
      <c r="D308" t="s">
        <v>37</v>
      </c>
      <c r="E308" t="s">
        <v>56</v>
      </c>
      <c r="F308" t="s">
        <v>22</v>
      </c>
      <c r="G308">
        <v>3</v>
      </c>
      <c r="H308" s="4" t="s">
        <v>136</v>
      </c>
      <c r="I308" s="4" t="s">
        <v>135</v>
      </c>
      <c r="J308" s="4" t="s">
        <v>163</v>
      </c>
      <c r="K308" t="s">
        <v>22</v>
      </c>
      <c r="L308">
        <v>100</v>
      </c>
      <c r="M308">
        <v>300</v>
      </c>
      <c r="N308">
        <v>275</v>
      </c>
      <c r="O308">
        <v>310</v>
      </c>
      <c r="P308">
        <v>0.9</v>
      </c>
      <c r="Q308">
        <v>2500</v>
      </c>
    </row>
    <row r="309" spans="1:17">
      <c r="A309" t="s">
        <v>1</v>
      </c>
      <c r="B309" t="s">
        <v>95</v>
      </c>
      <c r="C309" t="s">
        <v>96</v>
      </c>
      <c r="D309" t="s">
        <v>1</v>
      </c>
      <c r="E309" t="s">
        <v>36</v>
      </c>
      <c r="F309" t="s">
        <v>39</v>
      </c>
      <c r="G309">
        <v>3</v>
      </c>
      <c r="H309" s="4" t="s">
        <v>136</v>
      </c>
      <c r="I309" s="4" t="s">
        <v>135</v>
      </c>
      <c r="J309" s="4" t="s">
        <v>135</v>
      </c>
      <c r="K309" t="s">
        <v>22</v>
      </c>
      <c r="L309">
        <v>100</v>
      </c>
      <c r="M309">
        <v>320</v>
      </c>
      <c r="N309">
        <v>300</v>
      </c>
      <c r="O309">
        <v>330</v>
      </c>
      <c r="P309">
        <v>0.82</v>
      </c>
      <c r="Q309">
        <v>3400</v>
      </c>
    </row>
    <row r="310" spans="1:17">
      <c r="A310" t="s">
        <v>1</v>
      </c>
      <c r="B310" t="s">
        <v>95</v>
      </c>
      <c r="C310" t="s">
        <v>96</v>
      </c>
      <c r="D310" t="s">
        <v>1</v>
      </c>
      <c r="E310" t="s">
        <v>36</v>
      </c>
      <c r="F310" t="s">
        <v>22</v>
      </c>
      <c r="G310">
        <v>3</v>
      </c>
      <c r="H310" s="4" t="s">
        <v>136</v>
      </c>
      <c r="I310" s="4" t="s">
        <v>135</v>
      </c>
      <c r="J310" s="4" t="s">
        <v>135</v>
      </c>
      <c r="K310" t="s">
        <v>22</v>
      </c>
      <c r="L310">
        <v>100</v>
      </c>
      <c r="M310">
        <v>320</v>
      </c>
      <c r="N310">
        <v>300</v>
      </c>
      <c r="O310">
        <v>330</v>
      </c>
      <c r="P310">
        <v>0.82</v>
      </c>
      <c r="Q310">
        <v>3400</v>
      </c>
    </row>
    <row r="311" spans="1:17">
      <c r="A311" t="s">
        <v>1</v>
      </c>
      <c r="B311" t="s">
        <v>95</v>
      </c>
      <c r="C311" t="s">
        <v>96</v>
      </c>
      <c r="D311" t="s">
        <v>1</v>
      </c>
      <c r="E311" t="s">
        <v>36</v>
      </c>
      <c r="F311" t="s">
        <v>41</v>
      </c>
      <c r="G311">
        <v>3</v>
      </c>
      <c r="H311" s="4" t="s">
        <v>136</v>
      </c>
      <c r="I311" s="4" t="s">
        <v>135</v>
      </c>
      <c r="J311" s="4" t="s">
        <v>135</v>
      </c>
      <c r="K311" t="s">
        <v>22</v>
      </c>
      <c r="L311">
        <v>100</v>
      </c>
      <c r="M311">
        <v>320</v>
      </c>
      <c r="N311">
        <v>300</v>
      </c>
      <c r="O311">
        <v>330</v>
      </c>
      <c r="P311">
        <v>0.82</v>
      </c>
      <c r="Q311">
        <v>3400</v>
      </c>
    </row>
    <row r="312" spans="1:17">
      <c r="A312" t="s">
        <v>1</v>
      </c>
      <c r="B312" t="s">
        <v>95</v>
      </c>
      <c r="C312" t="s">
        <v>96</v>
      </c>
      <c r="D312" t="s">
        <v>1</v>
      </c>
      <c r="E312" t="s">
        <v>36</v>
      </c>
      <c r="F312" t="s">
        <v>23</v>
      </c>
      <c r="G312">
        <v>3</v>
      </c>
      <c r="H312" s="4" t="s">
        <v>136</v>
      </c>
      <c r="I312" s="4" t="s">
        <v>135</v>
      </c>
      <c r="J312" s="4" t="s">
        <v>135</v>
      </c>
      <c r="K312" t="s">
        <v>22</v>
      </c>
      <c r="L312">
        <v>100</v>
      </c>
      <c r="M312">
        <v>320</v>
      </c>
      <c r="N312">
        <v>300</v>
      </c>
      <c r="O312">
        <v>330</v>
      </c>
      <c r="P312">
        <v>0.82</v>
      </c>
      <c r="Q312">
        <v>3400</v>
      </c>
    </row>
    <row r="313" spans="1:17">
      <c r="A313" t="s">
        <v>1</v>
      </c>
      <c r="B313" t="s">
        <v>95</v>
      </c>
      <c r="C313" t="s">
        <v>96</v>
      </c>
      <c r="D313" t="s">
        <v>1</v>
      </c>
      <c r="E313" t="s">
        <v>36</v>
      </c>
      <c r="F313" t="s">
        <v>70</v>
      </c>
      <c r="G313">
        <v>3</v>
      </c>
      <c r="H313" s="4" t="s">
        <v>136</v>
      </c>
      <c r="I313" s="4" t="s">
        <v>135</v>
      </c>
      <c r="J313" s="4" t="s">
        <v>135</v>
      </c>
      <c r="K313" t="s">
        <v>22</v>
      </c>
      <c r="L313">
        <v>80</v>
      </c>
      <c r="M313">
        <v>300</v>
      </c>
      <c r="N313">
        <v>250</v>
      </c>
      <c r="O313">
        <v>350</v>
      </c>
      <c r="P313">
        <v>0.88</v>
      </c>
      <c r="Q313">
        <v>3400</v>
      </c>
    </row>
    <row r="314" spans="1:17">
      <c r="A314" t="s">
        <v>1</v>
      </c>
      <c r="B314" t="s">
        <v>95</v>
      </c>
      <c r="C314" t="s">
        <v>96</v>
      </c>
      <c r="D314" t="s">
        <v>1</v>
      </c>
      <c r="E314" t="s">
        <v>36</v>
      </c>
      <c r="F314" t="s">
        <v>158</v>
      </c>
      <c r="G314">
        <v>3</v>
      </c>
      <c r="H314" s="4" t="s">
        <v>136</v>
      </c>
      <c r="I314" s="4" t="s">
        <v>135</v>
      </c>
      <c r="J314" s="4" t="s">
        <v>135</v>
      </c>
      <c r="K314" t="s">
        <v>22</v>
      </c>
      <c r="L314">
        <v>80</v>
      </c>
      <c r="M314">
        <v>300</v>
      </c>
      <c r="N314">
        <v>250</v>
      </c>
      <c r="O314">
        <v>350</v>
      </c>
      <c r="P314">
        <v>0.88</v>
      </c>
      <c r="Q314">
        <v>3400</v>
      </c>
    </row>
    <row r="315" spans="1:17">
      <c r="A315" t="s">
        <v>1</v>
      </c>
      <c r="B315" t="s">
        <v>95</v>
      </c>
      <c r="C315" t="s">
        <v>96</v>
      </c>
      <c r="D315" t="s">
        <v>122</v>
      </c>
      <c r="E315" t="s">
        <v>36</v>
      </c>
      <c r="F315" t="s">
        <v>157</v>
      </c>
      <c r="G315">
        <v>3</v>
      </c>
      <c r="H315" s="4" t="s">
        <v>116</v>
      </c>
      <c r="I315" s="4" t="s">
        <v>135</v>
      </c>
      <c r="J315" s="4" t="s">
        <v>116</v>
      </c>
      <c r="K315" t="s">
        <v>22</v>
      </c>
      <c r="L315">
        <v>80</v>
      </c>
      <c r="M315">
        <v>300</v>
      </c>
      <c r="N315">
        <v>250</v>
      </c>
      <c r="O315">
        <v>350</v>
      </c>
      <c r="P315">
        <v>0.88</v>
      </c>
      <c r="Q315">
        <v>3400</v>
      </c>
    </row>
    <row r="316" spans="1:17">
      <c r="A316" t="s">
        <v>1</v>
      </c>
      <c r="B316" t="s">
        <v>95</v>
      </c>
      <c r="C316" t="s">
        <v>96</v>
      </c>
      <c r="D316" t="s">
        <v>37</v>
      </c>
      <c r="E316" t="s">
        <v>36</v>
      </c>
      <c r="F316" t="s">
        <v>42</v>
      </c>
      <c r="G316">
        <v>3</v>
      </c>
      <c r="H316" s="4" t="s">
        <v>136</v>
      </c>
      <c r="I316" s="4" t="s">
        <v>135</v>
      </c>
      <c r="J316" s="4" t="s">
        <v>163</v>
      </c>
      <c r="K316" t="s">
        <v>22</v>
      </c>
      <c r="L316">
        <v>80</v>
      </c>
      <c r="M316">
        <v>350</v>
      </c>
      <c r="N316">
        <v>275</v>
      </c>
      <c r="O316">
        <v>325</v>
      </c>
      <c r="P316">
        <v>0.84</v>
      </c>
      <c r="Q316">
        <v>3400</v>
      </c>
    </row>
    <row r="317" spans="1:17">
      <c r="A317" t="s">
        <v>1</v>
      </c>
      <c r="B317" t="s">
        <v>95</v>
      </c>
      <c r="C317" t="s">
        <v>96</v>
      </c>
      <c r="D317" t="s">
        <v>124</v>
      </c>
      <c r="E317" t="s">
        <v>36</v>
      </c>
      <c r="F317" t="s">
        <v>159</v>
      </c>
      <c r="G317">
        <v>3</v>
      </c>
      <c r="H317" s="4" t="s">
        <v>136</v>
      </c>
      <c r="I317" s="4" t="s">
        <v>135</v>
      </c>
      <c r="J317" s="4" t="s">
        <v>35</v>
      </c>
      <c r="K317" t="s">
        <v>22</v>
      </c>
      <c r="L317" t="s">
        <v>35</v>
      </c>
      <c r="M317" t="s">
        <v>35</v>
      </c>
      <c r="N317" t="s">
        <v>35</v>
      </c>
      <c r="O317" t="s">
        <v>35</v>
      </c>
      <c r="P317" t="s">
        <v>35</v>
      </c>
      <c r="Q317">
        <v>3400</v>
      </c>
    </row>
    <row r="318" spans="1:17">
      <c r="A318" t="s">
        <v>1</v>
      </c>
      <c r="B318" t="s">
        <v>95</v>
      </c>
      <c r="C318" t="s">
        <v>96</v>
      </c>
      <c r="D318" t="s">
        <v>37</v>
      </c>
      <c r="E318" t="s">
        <v>36</v>
      </c>
      <c r="F318" t="s">
        <v>43</v>
      </c>
      <c r="G318">
        <v>3</v>
      </c>
      <c r="H318" s="4" t="s">
        <v>136</v>
      </c>
      <c r="I318" s="4" t="s">
        <v>135</v>
      </c>
      <c r="J318" s="4" t="s">
        <v>163</v>
      </c>
      <c r="K318" t="s">
        <v>22</v>
      </c>
      <c r="L318">
        <v>80</v>
      </c>
      <c r="M318">
        <v>350</v>
      </c>
      <c r="N318">
        <v>275</v>
      </c>
      <c r="O318">
        <v>325</v>
      </c>
      <c r="P318">
        <v>0.84</v>
      </c>
      <c r="Q318">
        <v>3400</v>
      </c>
    </row>
    <row r="319" spans="1:17">
      <c r="A319" t="s">
        <v>1</v>
      </c>
      <c r="B319" t="s">
        <v>95</v>
      </c>
      <c r="C319" t="s">
        <v>96</v>
      </c>
      <c r="D319" t="s">
        <v>168</v>
      </c>
      <c r="E319" t="s">
        <v>36</v>
      </c>
      <c r="F319" t="s">
        <v>146</v>
      </c>
      <c r="G319">
        <v>3</v>
      </c>
      <c r="H319" t="s">
        <v>116</v>
      </c>
      <c r="I319" s="4" t="s">
        <v>135</v>
      </c>
      <c r="J319" t="s">
        <v>116</v>
      </c>
      <c r="K319" t="s">
        <v>22</v>
      </c>
      <c r="L319" t="s">
        <v>116</v>
      </c>
      <c r="M319" t="s">
        <v>116</v>
      </c>
      <c r="N319" t="s">
        <v>116</v>
      </c>
      <c r="O319" t="s">
        <v>116</v>
      </c>
      <c r="P319" t="s">
        <v>116</v>
      </c>
      <c r="Q319">
        <v>3400</v>
      </c>
    </row>
    <row r="320" spans="1:17">
      <c r="A320" t="s">
        <v>1</v>
      </c>
      <c r="B320" t="s">
        <v>95</v>
      </c>
      <c r="C320" t="s">
        <v>96</v>
      </c>
      <c r="D320" t="s">
        <v>168</v>
      </c>
      <c r="E320" t="s">
        <v>36</v>
      </c>
      <c r="F320" t="s">
        <v>160</v>
      </c>
      <c r="G320">
        <v>3</v>
      </c>
      <c r="H320" t="s">
        <v>116</v>
      </c>
      <c r="I320" s="4" t="s">
        <v>135</v>
      </c>
      <c r="J320" t="s">
        <v>116</v>
      </c>
      <c r="K320" t="s">
        <v>22</v>
      </c>
      <c r="L320" t="s">
        <v>116</v>
      </c>
      <c r="M320" t="s">
        <v>116</v>
      </c>
      <c r="N320" t="s">
        <v>116</v>
      </c>
      <c r="O320" t="s">
        <v>116</v>
      </c>
      <c r="P320" t="s">
        <v>116</v>
      </c>
      <c r="Q320">
        <v>3400</v>
      </c>
    </row>
    <row r="321" spans="1:18">
      <c r="A321" t="s">
        <v>1</v>
      </c>
      <c r="B321" t="s">
        <v>95</v>
      </c>
      <c r="C321" t="s">
        <v>96</v>
      </c>
      <c r="D321" t="s">
        <v>54</v>
      </c>
      <c r="E321" t="s">
        <v>36</v>
      </c>
      <c r="F321" t="s">
        <v>44</v>
      </c>
      <c r="G321">
        <v>3</v>
      </c>
      <c r="H321" s="4" t="s">
        <v>136</v>
      </c>
      <c r="I321" s="4" t="s">
        <v>135</v>
      </c>
      <c r="J321" s="4" t="s">
        <v>35</v>
      </c>
      <c r="K321" t="s">
        <v>22</v>
      </c>
      <c r="L321" t="s">
        <v>35</v>
      </c>
      <c r="M321" t="s">
        <v>35</v>
      </c>
      <c r="N321" t="s">
        <v>35</v>
      </c>
      <c r="O321" t="s">
        <v>35</v>
      </c>
      <c r="P321" t="s">
        <v>35</v>
      </c>
      <c r="Q321">
        <v>3400</v>
      </c>
    </row>
    <row r="322" spans="1:18">
      <c r="A322" t="s">
        <v>1</v>
      </c>
      <c r="B322" t="s">
        <v>95</v>
      </c>
      <c r="C322" t="s">
        <v>96</v>
      </c>
      <c r="D322" t="s">
        <v>165</v>
      </c>
      <c r="E322" t="s">
        <v>36</v>
      </c>
      <c r="F322" t="s">
        <v>161</v>
      </c>
      <c r="G322">
        <v>3</v>
      </c>
      <c r="H322" s="4" t="s">
        <v>116</v>
      </c>
      <c r="I322" s="4" t="s">
        <v>135</v>
      </c>
      <c r="J322" s="4" t="s">
        <v>116</v>
      </c>
      <c r="K322" t="s">
        <v>22</v>
      </c>
      <c r="L322" t="s">
        <v>116</v>
      </c>
      <c r="M322" t="s">
        <v>116</v>
      </c>
      <c r="N322" t="s">
        <v>116</v>
      </c>
      <c r="O322" t="s">
        <v>116</v>
      </c>
      <c r="P322" t="s">
        <v>116</v>
      </c>
      <c r="Q322">
        <v>3400</v>
      </c>
    </row>
    <row r="323" spans="1:18">
      <c r="A323" t="s">
        <v>1</v>
      </c>
      <c r="B323" t="s">
        <v>95</v>
      </c>
      <c r="C323" t="s">
        <v>96</v>
      </c>
      <c r="D323" t="s">
        <v>1</v>
      </c>
      <c r="E323" t="s">
        <v>30</v>
      </c>
      <c r="F323" t="s">
        <v>39</v>
      </c>
      <c r="G323">
        <v>3</v>
      </c>
      <c r="H323" s="4" t="s">
        <v>136</v>
      </c>
      <c r="I323" s="4" t="s">
        <v>135</v>
      </c>
      <c r="J323" s="4" t="s">
        <v>135</v>
      </c>
      <c r="K323" t="s">
        <v>22</v>
      </c>
      <c r="L323">
        <v>50</v>
      </c>
      <c r="M323">
        <v>350</v>
      </c>
      <c r="N323">
        <v>285</v>
      </c>
      <c r="O323">
        <v>325</v>
      </c>
      <c r="P323">
        <v>0.84</v>
      </c>
      <c r="Q323">
        <v>2000</v>
      </c>
      <c r="R323" t="s">
        <v>166</v>
      </c>
    </row>
    <row r="324" spans="1:18">
      <c r="A324" t="s">
        <v>1</v>
      </c>
      <c r="B324" t="s">
        <v>95</v>
      </c>
      <c r="C324" t="s">
        <v>96</v>
      </c>
      <c r="D324" t="s">
        <v>1</v>
      </c>
      <c r="E324" t="s">
        <v>30</v>
      </c>
      <c r="F324" t="s">
        <v>22</v>
      </c>
      <c r="G324">
        <v>3</v>
      </c>
      <c r="H324" s="4" t="s">
        <v>136</v>
      </c>
      <c r="I324" s="4" t="s">
        <v>135</v>
      </c>
      <c r="J324" s="4" t="s">
        <v>135</v>
      </c>
      <c r="K324" t="s">
        <v>22</v>
      </c>
      <c r="L324">
        <v>50</v>
      </c>
      <c r="M324">
        <v>350</v>
      </c>
      <c r="N324">
        <v>285</v>
      </c>
      <c r="O324">
        <v>325</v>
      </c>
      <c r="P324">
        <v>0.84</v>
      </c>
      <c r="Q324">
        <v>2000</v>
      </c>
      <c r="R324" t="s">
        <v>166</v>
      </c>
    </row>
    <row r="325" spans="1:18">
      <c r="A325" t="s">
        <v>1</v>
      </c>
      <c r="B325" t="s">
        <v>95</v>
      </c>
      <c r="C325" t="s">
        <v>96</v>
      </c>
      <c r="D325" t="s">
        <v>1</v>
      </c>
      <c r="E325" t="s">
        <v>30</v>
      </c>
      <c r="F325" t="s">
        <v>41</v>
      </c>
      <c r="G325">
        <v>3</v>
      </c>
      <c r="H325" s="4" t="s">
        <v>136</v>
      </c>
      <c r="I325" s="4" t="s">
        <v>135</v>
      </c>
      <c r="J325" s="4" t="s">
        <v>135</v>
      </c>
      <c r="K325" t="s">
        <v>22</v>
      </c>
      <c r="L325">
        <v>50</v>
      </c>
      <c r="M325">
        <v>350</v>
      </c>
      <c r="N325">
        <v>285</v>
      </c>
      <c r="O325">
        <v>325</v>
      </c>
      <c r="P325">
        <v>0.84</v>
      </c>
      <c r="Q325">
        <v>2000</v>
      </c>
      <c r="R325" t="s">
        <v>166</v>
      </c>
    </row>
    <row r="326" spans="1:18">
      <c r="A326" t="s">
        <v>1</v>
      </c>
      <c r="B326" t="s">
        <v>95</v>
      </c>
      <c r="C326" t="s">
        <v>96</v>
      </c>
      <c r="D326" t="s">
        <v>1</v>
      </c>
      <c r="E326" t="s">
        <v>30</v>
      </c>
      <c r="F326" t="s">
        <v>23</v>
      </c>
      <c r="G326">
        <v>3</v>
      </c>
      <c r="H326" s="4" t="s">
        <v>136</v>
      </c>
      <c r="I326" s="4" t="s">
        <v>135</v>
      </c>
      <c r="J326" s="4" t="s">
        <v>135</v>
      </c>
      <c r="K326" t="s">
        <v>22</v>
      </c>
      <c r="L326">
        <v>50</v>
      </c>
      <c r="M326">
        <v>350</v>
      </c>
      <c r="N326">
        <v>285</v>
      </c>
      <c r="O326">
        <v>325</v>
      </c>
      <c r="P326">
        <v>0.84</v>
      </c>
      <c r="Q326">
        <v>2000</v>
      </c>
      <c r="R326" t="s">
        <v>166</v>
      </c>
    </row>
    <row r="327" spans="1:18">
      <c r="A327" t="s">
        <v>1</v>
      </c>
      <c r="B327" t="s">
        <v>95</v>
      </c>
      <c r="C327" t="s">
        <v>96</v>
      </c>
      <c r="D327" t="s">
        <v>131</v>
      </c>
      <c r="E327" t="s">
        <v>30</v>
      </c>
      <c r="F327" t="s">
        <v>70</v>
      </c>
      <c r="G327">
        <v>3</v>
      </c>
      <c r="H327" s="4" t="s">
        <v>116</v>
      </c>
      <c r="I327" s="4" t="s">
        <v>135</v>
      </c>
      <c r="J327" s="4" t="s">
        <v>116</v>
      </c>
      <c r="K327" t="s">
        <v>22</v>
      </c>
      <c r="L327">
        <v>50</v>
      </c>
      <c r="M327">
        <v>350</v>
      </c>
      <c r="N327">
        <v>285</v>
      </c>
      <c r="O327">
        <v>325</v>
      </c>
      <c r="P327">
        <v>0.84</v>
      </c>
      <c r="Q327">
        <v>2000</v>
      </c>
      <c r="R327" t="s">
        <v>166</v>
      </c>
    </row>
    <row r="328" spans="1:18">
      <c r="A328" t="s">
        <v>1</v>
      </c>
      <c r="B328" t="s">
        <v>95</v>
      </c>
      <c r="C328" t="s">
        <v>96</v>
      </c>
      <c r="D328" t="s">
        <v>131</v>
      </c>
      <c r="E328" t="s">
        <v>30</v>
      </c>
      <c r="F328" t="s">
        <v>71</v>
      </c>
      <c r="G328">
        <v>3</v>
      </c>
      <c r="H328" s="4" t="s">
        <v>116</v>
      </c>
      <c r="I328" s="4" t="s">
        <v>135</v>
      </c>
      <c r="J328" s="4" t="s">
        <v>116</v>
      </c>
      <c r="K328" t="s">
        <v>22</v>
      </c>
      <c r="L328">
        <v>50</v>
      </c>
      <c r="M328">
        <v>350</v>
      </c>
      <c r="N328">
        <v>285</v>
      </c>
      <c r="O328">
        <v>325</v>
      </c>
      <c r="P328">
        <v>0.84</v>
      </c>
      <c r="Q328">
        <v>2000</v>
      </c>
      <c r="R328" t="s">
        <v>166</v>
      </c>
    </row>
    <row r="329" spans="1:18">
      <c r="A329" t="s">
        <v>1</v>
      </c>
      <c r="B329" t="s">
        <v>95</v>
      </c>
      <c r="C329" t="s">
        <v>96</v>
      </c>
      <c r="D329" t="s">
        <v>122</v>
      </c>
      <c r="E329" t="s">
        <v>30</v>
      </c>
      <c r="F329" t="s">
        <v>157</v>
      </c>
      <c r="G329">
        <v>3</v>
      </c>
      <c r="H329" s="4" t="s">
        <v>116</v>
      </c>
      <c r="I329" s="4" t="s">
        <v>135</v>
      </c>
      <c r="J329" s="4" t="s">
        <v>116</v>
      </c>
      <c r="K329" t="s">
        <v>22</v>
      </c>
      <c r="L329">
        <v>50</v>
      </c>
      <c r="M329">
        <v>350</v>
      </c>
      <c r="N329">
        <v>285</v>
      </c>
      <c r="O329">
        <v>325</v>
      </c>
      <c r="P329">
        <v>0.84</v>
      </c>
      <c r="Q329">
        <v>2000</v>
      </c>
      <c r="R329" t="s">
        <v>166</v>
      </c>
    </row>
    <row r="330" spans="1:18">
      <c r="A330" t="s">
        <v>1</v>
      </c>
      <c r="B330" t="s">
        <v>95</v>
      </c>
      <c r="C330" t="s">
        <v>96</v>
      </c>
      <c r="D330" t="s">
        <v>1</v>
      </c>
      <c r="E330" t="s">
        <v>31</v>
      </c>
      <c r="F330" t="s">
        <v>39</v>
      </c>
      <c r="G330">
        <v>3</v>
      </c>
      <c r="H330" s="4" t="s">
        <v>136</v>
      </c>
      <c r="I330" s="4" t="s">
        <v>135</v>
      </c>
      <c r="J330" s="4" t="s">
        <v>135</v>
      </c>
      <c r="K330" t="s">
        <v>22</v>
      </c>
      <c r="L330">
        <v>50</v>
      </c>
      <c r="M330">
        <v>360</v>
      </c>
      <c r="N330">
        <v>215</v>
      </c>
      <c r="O330">
        <v>350</v>
      </c>
      <c r="P330">
        <v>0.9</v>
      </c>
      <c r="Q330">
        <v>3000</v>
      </c>
    </row>
    <row r="331" spans="1:18">
      <c r="A331" t="s">
        <v>1</v>
      </c>
      <c r="B331" t="s">
        <v>95</v>
      </c>
      <c r="C331" t="s">
        <v>96</v>
      </c>
      <c r="D331" t="s">
        <v>1</v>
      </c>
      <c r="E331" t="s">
        <v>21</v>
      </c>
      <c r="F331" t="s">
        <v>39</v>
      </c>
      <c r="G331">
        <v>3</v>
      </c>
      <c r="H331" s="4" t="s">
        <v>136</v>
      </c>
      <c r="I331" s="4" t="s">
        <v>135</v>
      </c>
      <c r="J331" s="4" t="s">
        <v>135</v>
      </c>
      <c r="K331" t="s">
        <v>22</v>
      </c>
      <c r="L331">
        <v>100</v>
      </c>
      <c r="M331">
        <v>300</v>
      </c>
      <c r="N331">
        <v>230</v>
      </c>
      <c r="O331">
        <v>350</v>
      </c>
      <c r="P331">
        <v>0.84</v>
      </c>
      <c r="Q331">
        <v>1800</v>
      </c>
    </row>
    <row r="332" spans="1:18">
      <c r="A332" t="s">
        <v>1</v>
      </c>
      <c r="B332" t="s">
        <v>95</v>
      </c>
      <c r="C332" t="s">
        <v>96</v>
      </c>
      <c r="D332" t="s">
        <v>1</v>
      </c>
      <c r="E332" t="s">
        <v>162</v>
      </c>
      <c r="F332" t="s">
        <v>39</v>
      </c>
      <c r="G332">
        <v>3</v>
      </c>
      <c r="H332" s="4" t="s">
        <v>136</v>
      </c>
      <c r="I332" s="4" t="s">
        <v>135</v>
      </c>
      <c r="J332" s="4" t="s">
        <v>135</v>
      </c>
      <c r="K332" t="s">
        <v>22</v>
      </c>
      <c r="L332">
        <v>140</v>
      </c>
      <c r="M332">
        <v>270</v>
      </c>
      <c r="N332">
        <v>285</v>
      </c>
      <c r="O332">
        <v>315</v>
      </c>
      <c r="P332">
        <v>0.9</v>
      </c>
      <c r="Q332">
        <v>2300</v>
      </c>
    </row>
    <row r="333" spans="1:18">
      <c r="A333" t="s">
        <v>1</v>
      </c>
      <c r="B333" t="s">
        <v>95</v>
      </c>
      <c r="C333" t="s">
        <v>96</v>
      </c>
      <c r="D333" t="s">
        <v>1</v>
      </c>
      <c r="E333" t="s">
        <v>99</v>
      </c>
      <c r="F333" t="s">
        <v>39</v>
      </c>
      <c r="G333">
        <v>3</v>
      </c>
      <c r="H333" s="4" t="s">
        <v>136</v>
      </c>
      <c r="I333" s="4" t="s">
        <v>135</v>
      </c>
      <c r="J333" s="4" t="s">
        <v>135</v>
      </c>
      <c r="K333" t="s">
        <v>22</v>
      </c>
      <c r="L333">
        <v>80</v>
      </c>
      <c r="M333">
        <v>330</v>
      </c>
      <c r="N333">
        <v>250</v>
      </c>
      <c r="O333">
        <v>325</v>
      </c>
      <c r="P333">
        <v>0.8</v>
      </c>
      <c r="Q333">
        <v>4500</v>
      </c>
      <c r="R333" t="s">
        <v>167</v>
      </c>
    </row>
    <row r="334" spans="1:18">
      <c r="A334" t="s">
        <v>1</v>
      </c>
      <c r="B334" t="s">
        <v>95</v>
      </c>
      <c r="C334" t="s">
        <v>96</v>
      </c>
      <c r="D334" t="s">
        <v>1</v>
      </c>
      <c r="E334" t="s">
        <v>33</v>
      </c>
      <c r="F334" t="s">
        <v>39</v>
      </c>
      <c r="G334">
        <v>3</v>
      </c>
      <c r="H334" s="4" t="s">
        <v>136</v>
      </c>
      <c r="I334" s="4" t="s">
        <v>135</v>
      </c>
      <c r="J334" s="4" t="s">
        <v>135</v>
      </c>
      <c r="K334" t="s">
        <v>22</v>
      </c>
      <c r="L334">
        <v>80</v>
      </c>
      <c r="M334">
        <v>280</v>
      </c>
      <c r="N334">
        <v>250</v>
      </c>
      <c r="O334">
        <v>300</v>
      </c>
      <c r="P334">
        <v>0.9</v>
      </c>
      <c r="Q334">
        <v>3000</v>
      </c>
    </row>
  </sheetData>
  <phoneticPr fontId="4" type="noConversion"/>
  <conditionalFormatting sqref="A249:B250 C250:C251 A252:A253 A257:B257 B260 A261 A79:I159 J47:Q159">
    <cfRule type="containsBlanks" dxfId="127" priority="158">
      <formula>LEN(TRIM(A47))=0</formula>
    </cfRule>
  </conditionalFormatting>
  <conditionalFormatting sqref="A250:F271 K250:K271">
    <cfRule type="expression" dxfId="126" priority="470">
      <formula>COUNTIFS($A:$A,$A97,$B:$B,$B97,$C:$C,$C97,$D:$D,$D97,$E:$E,$E97,$F:$F,$F97,$K:$K,$K97)&gt;1</formula>
    </cfRule>
  </conditionalFormatting>
  <conditionalFormatting sqref="A45:F48 A2:R44 G45:R46 G47:I50 I47:R78 D51:I55 A285:F299 A300:G303 A301:C334 A304:F334 G306:R306 I307:J308 A255:F260 B256:B261 C260:C263 A262:F267 D49:F50 A49:C62 D56:H57 A58:H78 I309:I334 A335:R815 A79:R201">
    <cfRule type="containsText" dxfId="125" priority="561" operator="containsText" text="itv">
      <formula>NOT(ISERROR(SEARCH("itv",A2)))</formula>
    </cfRule>
  </conditionalFormatting>
  <conditionalFormatting sqref="A231:F244 I240:J241 B248 A251:B251 B255 A267:B267">
    <cfRule type="containsBlanks" dxfId="124" priority="96">
      <formula>LEN(TRIM(A231))=0</formula>
    </cfRule>
  </conditionalFormatting>
  <conditionalFormatting sqref="A231:F244 I241:J241 B248 A251:B251 B255 A267:B267">
    <cfRule type="containsText" dxfId="123" priority="95" operator="containsText" text="itv">
      <formula>NOT(ISERROR(SEARCH("itv",A231)))</formula>
    </cfRule>
  </conditionalFormatting>
  <conditionalFormatting sqref="A245:F245 I250:I252 B252 C252:C253 A254:A255 I254:I255 C257:C259 I257:I267 B261:B262 A262:A263 C263:C265">
    <cfRule type="containsBlanks" dxfId="122" priority="80">
      <formula>LEN(TRIM(A245))=0</formula>
    </cfRule>
  </conditionalFormatting>
  <conditionalFormatting sqref="A245:F245 I250:I255 B252 C252:C253 A254:A255 C257:C259 I257:I267 B261:B262 A262:A263 C263:C265">
    <cfRule type="containsText" dxfId="121" priority="79" operator="containsText" text="itv">
      <formula>NOT(ISERROR(SEARCH("itv",A245)))</formula>
    </cfRule>
  </conditionalFormatting>
  <conditionalFormatting sqref="A246:F248 B253:B254 C254:C255 B264">
    <cfRule type="containsBlanks" dxfId="120" priority="150">
      <formula>LEN(TRIM(A246))=0</formula>
    </cfRule>
  </conditionalFormatting>
  <conditionalFormatting sqref="A249:F249 A257 A259:B259 A265:B265 J249">
    <cfRule type="containsBlanks" dxfId="119" priority="88">
      <formula>LEN(TRIM(A249))=0</formula>
    </cfRule>
  </conditionalFormatting>
  <conditionalFormatting sqref="A249:F249 A257 A259:B259 A265:B265">
    <cfRule type="containsText" dxfId="118" priority="87" operator="containsText" text="itv">
      <formula>NOT(ISERROR(SEARCH("itv",A249)))</formula>
    </cfRule>
  </conditionalFormatting>
  <conditionalFormatting sqref="A250:F254 A265:A267 A257:A262 C258:C260 B260:B264 C264:C266 D252:D260">
    <cfRule type="containsText" dxfId="117" priority="117" operator="containsText" text="itv">
      <formula>NOT(ISERROR(SEARCH("itv",A250)))</formula>
    </cfRule>
  </conditionalFormatting>
  <conditionalFormatting sqref="A250:F254 D252:D260 A257:A262 C258:C260 B260:B264 C264:C266 A265:A267">
    <cfRule type="containsBlanks" dxfId="116" priority="118">
      <formula>LEN(TRIM(A250))=0</formula>
    </cfRule>
  </conditionalFormatting>
  <conditionalFormatting sqref="A261:F261 E259 E263">
    <cfRule type="containsText" dxfId="115" priority="271" operator="containsText" text="itv">
      <formula>NOT(ISERROR(SEARCH("itv",A259)))</formula>
    </cfRule>
  </conditionalFormatting>
  <conditionalFormatting sqref="A284:F284">
    <cfRule type="containsText" dxfId="114" priority="389" operator="containsText" text="itv">
      <formula>NOT(ISERROR(SEARCH("itv",A284)))</formula>
    </cfRule>
    <cfRule type="containsBlanks" dxfId="113" priority="390">
      <formula>LEN(TRIM(A284))=0</formula>
    </cfRule>
  </conditionalFormatting>
  <conditionalFormatting sqref="A270:H283 I279:K279 C295:D295 B296:B297 C298 A300 C301 B302:B303 C304 C306 B307:B308 C309 A311 C312 B313:B314 C315 A317 C318 B319:B320 C321 A323 C324 B325:B326 C327 A329 C330 B331:B332 C333">
    <cfRule type="containsBlanks" dxfId="112" priority="405">
      <formula>LEN(TRIM(A270))=0</formula>
    </cfRule>
  </conditionalFormatting>
  <conditionalFormatting sqref="A270:K283 C295:D295 B296:B297 C298 A300 C301 B302:B303 C304 C306 B307:B308 C309 A311 C312 B313:B314 C315 A317 C318 B319:B320 C321 A323 C324 B325:B326 C327 A329 C330 B331:B332 C333">
    <cfRule type="containsText" dxfId="111" priority="404" operator="containsText" text="itv">
      <formula>NOT(ISERROR(SEARCH("itv",A270)))</formula>
    </cfRule>
  </conditionalFormatting>
  <conditionalFormatting sqref="A212:Q224 A228:I230">
    <cfRule type="containsBlanks" dxfId="110" priority="290">
      <formula>LEN(TRIM(A212))=0</formula>
    </cfRule>
  </conditionalFormatting>
  <conditionalFormatting sqref="A225:Q227">
    <cfRule type="containsBlanks" dxfId="109" priority="248">
      <formula>LEN(TRIM(A225))=0</formula>
    </cfRule>
  </conditionalFormatting>
  <conditionalFormatting sqref="A268:Q269 I270:Q278 I280:Q283 I295:Q305">
    <cfRule type="containsBlanks" dxfId="108" priority="408">
      <formula>LEN(TRIM(A268))=0</formula>
    </cfRule>
  </conditionalFormatting>
  <conditionalFormatting sqref="A203:R204 A206:R211">
    <cfRule type="containsText" dxfId="107" priority="483" operator="containsText" text="itv">
      <formula>NOT(ISERROR(SEARCH("itv",A203)))</formula>
    </cfRule>
  </conditionalFormatting>
  <conditionalFormatting sqref="A212:R224 A228:I230">
    <cfRule type="containsText" dxfId="106" priority="289" operator="containsText" text="itv">
      <formula>NOT(ISERROR(SEARCH("itv",A212)))</formula>
    </cfRule>
  </conditionalFormatting>
  <conditionalFormatting sqref="A225:R227">
    <cfRule type="containsText" dxfId="105" priority="247" operator="containsText" text="itv">
      <formula>NOT(ISERROR(SEARCH("itv",A225)))</formula>
    </cfRule>
  </conditionalFormatting>
  <conditionalFormatting sqref="A268:R269">
    <cfRule type="containsText" dxfId="104" priority="407" operator="containsText" text="itv">
      <formula>NOT(ISERROR(SEARCH("itv",A268)))</formula>
    </cfRule>
  </conditionalFormatting>
  <conditionalFormatting sqref="B2:B34 A30:Q44 G45:Q46 A45:F48 G47:I55 D49:F50 A49:C62 D51:I55 D56:H57 I56:I78 A58:H78 A255:F260 B256:B261 C260:C263 A262:F267 A285:F299 A300:G303 A301:C334 A304:F334 G306:Q306 I307:J308 I309:I334 A335:Q419 A160:Q201 A203:Q204 A206:Q211">
    <cfRule type="containsBlanks" dxfId="103" priority="562">
      <formula>LEN(TRIM(A2))=0</formula>
    </cfRule>
  </conditionalFormatting>
  <conditionalFormatting sqref="B45">
    <cfRule type="containsBlanks" dxfId="102" priority="560">
      <formula>LEN(TRIM(B45))=0</formula>
    </cfRule>
  </conditionalFormatting>
  <conditionalFormatting sqref="C250:C251 A249:B250 A252:A253 A257:B257 B260 A261">
    <cfRule type="containsText" dxfId="101" priority="157" operator="containsText" text="itv">
      <formula>NOT(ISERROR(SEARCH("itv",A249)))</formula>
    </cfRule>
  </conditionalFormatting>
  <conditionalFormatting sqref="C250:C254 C258:C261 C264:C266">
    <cfRule type="containsText" dxfId="100" priority="121" operator="containsText" text="itv">
      <formula>NOT(ISERROR(SEARCH("itv",C250)))</formula>
    </cfRule>
    <cfRule type="containsBlanks" dxfId="99" priority="122">
      <formula>LEN(TRIM(C250))=0</formula>
    </cfRule>
  </conditionalFormatting>
  <conditionalFormatting sqref="C254:C255 B253:B254 B264 A246:F248">
    <cfRule type="containsText" dxfId="98" priority="149" operator="containsText" text="itv">
      <formula>NOT(ISERROR(SEARCH("itv",A246)))</formula>
    </cfRule>
  </conditionalFormatting>
  <conditionalFormatting sqref="D39">
    <cfRule type="containsBlanks" dxfId="97" priority="417">
      <formula>LEN(TRIM(D39))=0</formula>
    </cfRule>
  </conditionalFormatting>
  <conditionalFormatting sqref="D223">
    <cfRule type="containsText" dxfId="96" priority="287" operator="containsText" text="itv">
      <formula>NOT(ISERROR(SEARCH("itv",D223)))</formula>
    </cfRule>
    <cfRule type="containsBlanks" dxfId="95" priority="288">
      <formula>LEN(TRIM(D223))=0</formula>
    </cfRule>
  </conditionalFormatting>
  <conditionalFormatting sqref="D263:D264">
    <cfRule type="containsText" dxfId="94" priority="13" operator="containsText" text="itv">
      <formula>NOT(ISERROR(SEARCH("itv",D263)))</formula>
    </cfRule>
    <cfRule type="containsBlanks" dxfId="93" priority="14">
      <formula>LEN(TRIM(D263))=0</formula>
    </cfRule>
  </conditionalFormatting>
  <conditionalFormatting sqref="D265:E265">
    <cfRule type="containsText" dxfId="92" priority="15" operator="containsText" text="itv">
      <formula>NOT(ISERROR(SEARCH("itv",D265)))</formula>
    </cfRule>
    <cfRule type="containsBlanks" dxfId="91" priority="16">
      <formula>LEN(TRIM(D265))=0</formula>
    </cfRule>
  </conditionalFormatting>
  <conditionalFormatting sqref="D2:Q12 A2:B29 D13:G13 D14:Q29 I6:I43 J12:J43 K13:Q13 P31:P37">
    <cfRule type="containsBlanks" dxfId="90" priority="575">
      <formula>LEN(TRIM(A2))=0</formula>
    </cfRule>
  </conditionalFormatting>
  <conditionalFormatting sqref="E236:E241">
    <cfRule type="containsText" dxfId="89" priority="91" operator="containsText" text="itv">
      <formula>NOT(ISERROR(SEARCH("itv",E236)))</formula>
    </cfRule>
    <cfRule type="containsBlanks" dxfId="88" priority="92">
      <formula>LEN(TRIM(E236))=0</formula>
    </cfRule>
  </conditionalFormatting>
  <conditionalFormatting sqref="E243:E247">
    <cfRule type="containsText" dxfId="87" priority="75" operator="containsText" text="itv">
      <formula>NOT(ISERROR(SEARCH("itv",E243)))</formula>
    </cfRule>
    <cfRule type="containsBlanks" dxfId="86" priority="76">
      <formula>LEN(TRIM(E243))=0</formula>
    </cfRule>
  </conditionalFormatting>
  <conditionalFormatting sqref="E251:E254">
    <cfRule type="containsText" dxfId="85" priority="27" operator="containsText" text="itv">
      <formula>NOT(ISERROR(SEARCH("itv",E251)))</formula>
    </cfRule>
    <cfRule type="containsBlanks" dxfId="84" priority="28">
      <formula>LEN(TRIM(E251))=0</formula>
    </cfRule>
  </conditionalFormatting>
  <conditionalFormatting sqref="E259 A261:F261 E263">
    <cfRule type="containsBlanks" dxfId="83" priority="272">
      <formula>LEN(TRIM(A259))=0</formula>
    </cfRule>
  </conditionalFormatting>
  <conditionalFormatting sqref="G231:G258">
    <cfRule type="containsText" dxfId="82" priority="249" operator="containsText" text="itv">
      <formula>NOT(ISERROR(SEARCH("itv",G231)))</formula>
    </cfRule>
    <cfRule type="containsBlanks" dxfId="81" priority="250">
      <formula>LEN(TRIM(G231))=0</formula>
    </cfRule>
  </conditionalFormatting>
  <conditionalFormatting sqref="G259:H267 G297:G299 H297:H303 G304:H305 K307:Q334">
    <cfRule type="containsBlanks" dxfId="80" priority="410">
      <formula>LEN(TRIM(G259))=0</formula>
    </cfRule>
  </conditionalFormatting>
  <conditionalFormatting sqref="G259:H267 G297:G299 H297:H303 G304:H305 K307:R334">
    <cfRule type="containsText" dxfId="79" priority="409" operator="containsText" text="itv">
      <formula>NOT(ISERROR(SEARCH("itv",G259)))</formula>
    </cfRule>
  </conditionalFormatting>
  <conditionalFormatting sqref="G284:H296 I284:K305">
    <cfRule type="containsText" dxfId="78" priority="387" operator="containsText" text="itv">
      <formula>NOT(ISERROR(SEARCH("itv",G284)))</formula>
    </cfRule>
  </conditionalFormatting>
  <conditionalFormatting sqref="G307:H334">
    <cfRule type="containsText" dxfId="77" priority="329" operator="containsText" text="itv">
      <formula>NOT(ISERROR(SEARCH("itv",G307)))</formula>
    </cfRule>
    <cfRule type="containsBlanks" dxfId="76" priority="330">
      <formula>LEN(TRIM(G307))=0</formula>
    </cfRule>
  </conditionalFormatting>
  <conditionalFormatting sqref="H235:H241 H249:H255 H257:H258">
    <cfRule type="containsText" dxfId="75" priority="213" operator="containsText" text="itv">
      <formula>NOT(ISERROR(SEARCH("itv",H235)))</formula>
    </cfRule>
  </conditionalFormatting>
  <conditionalFormatting sqref="H235:H242 H248:H252 H254:H255 H257:H258">
    <cfRule type="containsBlanks" dxfId="74" priority="214">
      <formula>LEN(TRIM(H235))=0</formula>
    </cfRule>
  </conditionalFormatting>
  <conditionalFormatting sqref="H231:I233">
    <cfRule type="containsText" dxfId="73" priority="227" operator="containsText" text="itv">
      <formula>NOT(ISERROR(SEARCH("itv",H231)))</formula>
    </cfRule>
    <cfRule type="containsBlanks" dxfId="72" priority="228">
      <formula>LEN(TRIM(H231))=0</formula>
    </cfRule>
  </conditionalFormatting>
  <conditionalFormatting sqref="H253:I253">
    <cfRule type="containsBlanks" dxfId="71" priority="220">
      <formula>LEN(TRIM(H253))=0</formula>
    </cfRule>
  </conditionalFormatting>
  <conditionalFormatting sqref="H256:I256">
    <cfRule type="containsText" dxfId="70" priority="297" operator="containsText" text="itv">
      <formula>NOT(ISERROR(SEARCH("itv",H256)))</formula>
    </cfRule>
    <cfRule type="containsBlanks" dxfId="69" priority="298">
      <formula>LEN(TRIM(H256))=0</formula>
    </cfRule>
  </conditionalFormatting>
  <conditionalFormatting sqref="H242:J247">
    <cfRule type="containsText" dxfId="68" priority="63" operator="containsText" text="itv">
      <formula>NOT(ISERROR(SEARCH("itv",H242)))</formula>
    </cfRule>
  </conditionalFormatting>
  <conditionalFormatting sqref="H243:J247">
    <cfRule type="containsBlanks" dxfId="67" priority="64">
      <formula>LEN(TRIM(H243))=0</formula>
    </cfRule>
  </conditionalFormatting>
  <conditionalFormatting sqref="H234:Q234">
    <cfRule type="containsText" dxfId="66" priority="51" operator="containsText" text="itv">
      <formula>NOT(ISERROR(SEARCH("itv",H234)))</formula>
    </cfRule>
    <cfRule type="containsBlanks" dxfId="65" priority="52">
      <formula>LEN(TRIM(H234))=0</formula>
    </cfRule>
  </conditionalFormatting>
  <conditionalFormatting sqref="I45:I78">
    <cfRule type="containsBlanks" dxfId="64" priority="466">
      <formula>LEN(TRIM(I45))=0</formula>
    </cfRule>
  </conditionalFormatting>
  <conditionalFormatting sqref="I236:I239">
    <cfRule type="containsBlanks" dxfId="63" priority="174">
      <formula>LEN(TRIM(I236))=0</formula>
    </cfRule>
  </conditionalFormatting>
  <conditionalFormatting sqref="I248:I249">
    <cfRule type="containsBlanks" dxfId="62" priority="86">
      <formula>LEN(TRIM(I248))=0</formula>
    </cfRule>
  </conditionalFormatting>
  <conditionalFormatting sqref="I242:J242">
    <cfRule type="containsBlanks" dxfId="61" priority="66">
      <formula>LEN(TRIM(I242))=0</formula>
    </cfRule>
  </conditionalFormatting>
  <conditionalFormatting sqref="I249:J249">
    <cfRule type="containsText" dxfId="60" priority="85" operator="containsText" text="itv">
      <formula>NOT(ISERROR(SEARCH("itv",I249)))</formula>
    </cfRule>
  </conditionalFormatting>
  <conditionalFormatting sqref="I284:K294 G284:H296">
    <cfRule type="containsBlanks" dxfId="59" priority="388">
      <formula>LEN(TRIM(G284))=0</formula>
    </cfRule>
  </conditionalFormatting>
  <conditionalFormatting sqref="I235:Q235">
    <cfRule type="containsBlanks" dxfId="58" priority="48">
      <formula>LEN(TRIM(I235))=0</formula>
    </cfRule>
  </conditionalFormatting>
  <conditionalFormatting sqref="I235:Q240 K241:Q247">
    <cfRule type="containsText" dxfId="57" priority="39" operator="containsText" text="itv">
      <formula>NOT(ISERROR(SEARCH("itv",I235)))</formula>
    </cfRule>
  </conditionalFormatting>
  <conditionalFormatting sqref="J44">
    <cfRule type="containsBlanks" dxfId="56" priority="468">
      <formula>LEN(TRIM(J44))=0</formula>
    </cfRule>
  </conditionalFormatting>
  <conditionalFormatting sqref="J228:J233">
    <cfRule type="containsText" dxfId="55" priority="71" operator="containsText" text="itv">
      <formula>NOT(ISERROR(SEARCH("itv",J228)))</formula>
    </cfRule>
    <cfRule type="containsBlanks" dxfId="54" priority="72">
      <formula>LEN(TRIM(J228))=0</formula>
    </cfRule>
  </conditionalFormatting>
  <conditionalFormatting sqref="J238:J239">
    <cfRule type="containsBlanks" dxfId="53" priority="68">
      <formula>LEN(TRIM(J238))=0</formula>
    </cfRule>
  </conditionalFormatting>
  <conditionalFormatting sqref="J250:J267">
    <cfRule type="containsText" dxfId="52" priority="59" operator="containsText" text="itv">
      <formula>NOT(ISERROR(SEARCH("itv",J250)))</formula>
    </cfRule>
    <cfRule type="containsBlanks" dxfId="51" priority="60">
      <formula>LEN(TRIM(J250))=0</formula>
    </cfRule>
  </conditionalFormatting>
  <conditionalFormatting sqref="J306:J318">
    <cfRule type="containsBlanks" dxfId="50" priority="345">
      <formula>LEN(TRIM(J306))=0</formula>
    </cfRule>
  </conditionalFormatting>
  <conditionalFormatting sqref="J309:J318">
    <cfRule type="containsText" dxfId="49" priority="344" operator="containsText" text="itv">
      <formula>NOT(ISERROR(SEARCH("itv",J309)))</formula>
    </cfRule>
  </conditionalFormatting>
  <conditionalFormatting sqref="J316 J318">
    <cfRule type="expression" dxfId="48" priority="350">
      <formula>COUNTIFS($A:$A,#REF!,$B:$B,$A316,$C:$C,$B316,$D:$D,$D316,$E:$E,$E316,$F:$F,$F316)&gt;1</formula>
    </cfRule>
  </conditionalFormatting>
  <conditionalFormatting sqref="J316">
    <cfRule type="containsBlanks" dxfId="47" priority="343">
      <formula>LEN(TRIM(J316))=0</formula>
    </cfRule>
  </conditionalFormatting>
  <conditionalFormatting sqref="J318:J334">
    <cfRule type="containsBlanks" dxfId="46" priority="324">
      <formula>LEN(TRIM(J318))=0</formula>
    </cfRule>
  </conditionalFormatting>
  <conditionalFormatting sqref="J319:J334">
    <cfRule type="containsText" dxfId="45" priority="323" operator="containsText" text="itv">
      <formula>NOT(ISERROR(SEARCH("itv",J319)))</formula>
    </cfRule>
  </conditionalFormatting>
  <conditionalFormatting sqref="J236:Q237 K238:Q247">
    <cfRule type="containsBlanks" dxfId="44" priority="40">
      <formula>LEN(TRIM(J236))=0</formula>
    </cfRule>
  </conditionalFormatting>
  <conditionalFormatting sqref="K249:K267">
    <cfRule type="containsBlanks" dxfId="43" priority="78">
      <formula>LEN(TRIM(K249))=0</formula>
    </cfRule>
  </conditionalFormatting>
  <conditionalFormatting sqref="K228:Q230">
    <cfRule type="containsBlanks" dxfId="42" priority="256">
      <formula>LEN(TRIM(K228))=0</formula>
    </cfRule>
  </conditionalFormatting>
  <conditionalFormatting sqref="K231:Q233 H248:Q248">
    <cfRule type="containsText" dxfId="41" priority="55" operator="containsText" text="itv">
      <formula>NOT(ISERROR(SEARCH("itv",H231)))</formula>
    </cfRule>
  </conditionalFormatting>
  <conditionalFormatting sqref="K231:Q233 J248:Q248">
    <cfRule type="containsBlanks" dxfId="40" priority="56">
      <formula>LEN(TRIM(J231))=0</formula>
    </cfRule>
  </conditionalFormatting>
  <conditionalFormatting sqref="K228:R230">
    <cfRule type="containsText" dxfId="39" priority="255" operator="containsText" text="itv">
      <formula>NOT(ISERROR(SEARCH("itv",K228)))</formula>
    </cfRule>
  </conditionalFormatting>
  <conditionalFormatting sqref="L249:Q254">
    <cfRule type="containsText" dxfId="38" priority="17" operator="containsText" text="itv">
      <formula>NOT(ISERROR(SEARCH("itv",L249)))</formula>
    </cfRule>
  </conditionalFormatting>
  <conditionalFormatting sqref="L249:Q260">
    <cfRule type="containsBlanks" dxfId="37" priority="18">
      <formula>LEN(TRIM(L249))=0</formula>
    </cfRule>
  </conditionalFormatting>
  <conditionalFormatting sqref="L261:Q267">
    <cfRule type="containsBlanks" dxfId="36" priority="12">
      <formula>LEN(TRIM(L261))=0</formula>
    </cfRule>
  </conditionalFormatting>
  <conditionalFormatting sqref="L279:Q279">
    <cfRule type="containsBlanks" dxfId="35" priority="332">
      <formula>LEN(TRIM(L279))=0</formula>
    </cfRule>
  </conditionalFormatting>
  <conditionalFormatting sqref="L284:Q294">
    <cfRule type="containsBlanks" dxfId="34" priority="352">
      <formula>LEN(TRIM(L284))=0</formula>
    </cfRule>
  </conditionalFormatting>
  <conditionalFormatting sqref="L255:R267">
    <cfRule type="containsText" dxfId="33" priority="11" operator="containsText" text="itv">
      <formula>NOT(ISERROR(SEARCH("itv",L255)))</formula>
    </cfRule>
  </conditionalFormatting>
  <conditionalFormatting sqref="L270:R305">
    <cfRule type="containsText" dxfId="32" priority="331" operator="containsText" text="itv">
      <formula>NOT(ISERROR(SEARCH("itv",L270)))</formula>
    </cfRule>
  </conditionalFormatting>
  <conditionalFormatting sqref="P31">
    <cfRule type="containsBlanks" dxfId="31" priority="428">
      <formula>LEN(TRIM(P31))=0</formula>
    </cfRule>
  </conditionalFormatting>
  <conditionalFormatting sqref="P38:P39">
    <cfRule type="containsBlanks" dxfId="30" priority="416">
      <formula>LEN(TRIM(P38))=0</formula>
    </cfRule>
  </conditionalFormatting>
  <conditionalFormatting sqref="P42:P43">
    <cfRule type="containsBlanks" dxfId="29" priority="460">
      <formula>LEN(TRIM(P42))=0</formula>
    </cfRule>
  </conditionalFormatting>
  <conditionalFormatting sqref="P45:P57">
    <cfRule type="containsBlanks" dxfId="28" priority="443">
      <formula>LEN(TRIM(P45))=0</formula>
    </cfRule>
  </conditionalFormatting>
  <conditionalFormatting sqref="P82:P85">
    <cfRule type="containsBlanks" dxfId="27" priority="456">
      <formula>LEN(TRIM(P82))=0</formula>
    </cfRule>
  </conditionalFormatting>
  <conditionalFormatting sqref="P90:P96 P306">
    <cfRule type="containsBlanks" dxfId="26" priority="402">
      <formula>LEN(TRIM(P90))=0</formula>
    </cfRule>
  </conditionalFormatting>
  <conditionalFormatting sqref="P105:P114">
    <cfRule type="containsBlanks" dxfId="25" priority="433">
      <formula>LEN(TRIM(P105))=0</formula>
    </cfRule>
  </conditionalFormatting>
  <conditionalFormatting sqref="P138:P141">
    <cfRule type="containsBlanks" dxfId="24" priority="424">
      <formula>LEN(TRIM(P138))=0</formula>
    </cfRule>
  </conditionalFormatting>
  <conditionalFormatting sqref="P149:P156">
    <cfRule type="containsBlanks" dxfId="23" priority="412">
      <formula>LEN(TRIM(P149))=0</formula>
    </cfRule>
  </conditionalFormatting>
  <conditionalFormatting sqref="R231:R254 K249:K267">
    <cfRule type="containsText" dxfId="22" priority="77" operator="containsText" text="itv">
      <formula>NOT(ISERROR(SEARCH("itv",K231)))</formula>
    </cfRule>
  </conditionalFormatting>
  <conditionalFormatting sqref="R103">
    <cfRule type="containsBlanks" dxfId="21" priority="10">
      <formula>LEN(TRIM(R103))=0</formula>
    </cfRule>
  </conditionalFormatting>
  <conditionalFormatting sqref="R101">
    <cfRule type="containsBlanks" dxfId="20" priority="8">
      <formula>LEN(TRIM(R101))=0</formula>
    </cfRule>
  </conditionalFormatting>
  <conditionalFormatting sqref="K202:K204">
    <cfRule type="expression" dxfId="19" priority="577">
      <formula>COUNTIFS($A:$A,$A52,$B:$B,$B52,$C:$C,$C52,$D:$D,$D52,$E:$E,$E52,$F:$F,$F52,$K:$K,$K52)&gt;1</formula>
    </cfRule>
  </conditionalFormatting>
  <conditionalFormatting sqref="A202:R202">
    <cfRule type="containsText" dxfId="18" priority="4" operator="containsText" text="itv">
      <formula>NOT(ISERROR(SEARCH("itv",A202)))</formula>
    </cfRule>
  </conditionalFormatting>
  <conditionalFormatting sqref="A202:Q202">
    <cfRule type="containsBlanks" dxfId="17" priority="5">
      <formula>LEN(TRIM(A202))=0</formula>
    </cfRule>
  </conditionalFormatting>
  <conditionalFormatting sqref="K322:K363 A322:F363 K124:K126 A124:F126">
    <cfRule type="expression" dxfId="16" priority="589">
      <formula>COUNTIFS($A:$A,$A1048538,$B:$B,$B1048538,$C:$C,$C1048538,$D:$D,$D1048538,$E:$E,$E1048538,$F:$F,$F1048538,$K:$K,$K1048538)&gt;1</formula>
    </cfRule>
  </conditionalFormatting>
  <conditionalFormatting sqref="A205:R205">
    <cfRule type="containsText" dxfId="15" priority="1" operator="containsText" text="itv">
      <formula>NOT(ISERROR(SEARCH("itv",A205)))</formula>
    </cfRule>
  </conditionalFormatting>
  <conditionalFormatting sqref="A205:Q205">
    <cfRule type="containsBlanks" dxfId="14" priority="2">
      <formula>LEN(TRIM(A205))=0</formula>
    </cfRule>
  </conditionalFormatting>
  <conditionalFormatting sqref="K205:K248 K160:K201 A160:F248">
    <cfRule type="expression" dxfId="13" priority="3">
      <formula>COUNTIFS($A:$A,$A9,$B:$B,$B9,$C:$C,$C9,$D:$D,$D9,$E:$E,$E9,$F:$F,$F9,$K:$K,$K9)&gt;1</formula>
    </cfRule>
  </conditionalFormatting>
  <conditionalFormatting sqref="K249 A249:F249 K272 A272:F272 K281 A281:F281 K304 A304:F304 K321 A321:F321">
    <cfRule type="expression" dxfId="12" priority="613">
      <formula>COUNTIFS($A:$A,#REF!,$B:$B,#REF!,$C:$C,#REF!,$D:$D,#REF!,$E:$E,#REF!,$F:$F,#REF!,$K:$K,#REF!)&gt;1</formula>
    </cfRule>
  </conditionalFormatting>
  <conditionalFormatting sqref="K282:K284 A282:F284">
    <cfRule type="expression" dxfId="11" priority="647">
      <formula>COUNTIFS($A:$A,$A124,$B:$B,$B124,$C:$C,$C124,$D:$D,$D124,$E:$E,$E124,$F:$F,$F124,$K:$K,$K124)&gt;1</formula>
    </cfRule>
  </conditionalFormatting>
  <conditionalFormatting sqref="K286:K303 A286:F303">
    <cfRule type="expression" dxfId="10" priority="660">
      <formula>COUNTIFS($A:$A,$A127,$B:$B,$B127,$C:$C,$C127,$D:$D,$D127,$E:$E,$E127,$F:$F,$F127,$K:$K,$K127)&gt;1</formula>
    </cfRule>
  </conditionalFormatting>
  <conditionalFormatting sqref="K145:K159 A145:F159 K305:K320 K366:K9991 A366:F9991 A305:F320">
    <cfRule type="expression" dxfId="9" priority="669">
      <formula>COUNTIFS($A:$A,$A1048561,$B:$B,$B1048561,$C:$C,$C1048561,$D:$D,$D1048561,$E:$E,$E1048561,$F:$F,$F1048561,$K:$K,$K1048561)&gt;1</formula>
    </cfRule>
  </conditionalFormatting>
  <conditionalFormatting sqref="K273:K275 A273:F275">
    <cfRule type="expression" dxfId="8" priority="727">
      <formula>COUNTIFS($A:$A,$A118,$B:$B,$B118,$C:$C,$C118,$D:$D,$D118,$E:$E,$E118,$F:$F,$F118,$K:$K,$K118)&gt;1</formula>
    </cfRule>
  </conditionalFormatting>
  <conditionalFormatting sqref="K276 A276:F276">
    <cfRule type="expression" dxfId="7" priority="729">
      <formula>COUNTIFS($A:$A,#REF!,$B:$B,#REF!,$C:$C,#REF!,$D:$D,#REF!,$E:$E,#REF!,$F:$F,#REF!,$K:$K,#REF!)&gt;1</formula>
    </cfRule>
  </conditionalFormatting>
  <conditionalFormatting sqref="A277:F280 K277:K280">
    <cfRule type="expression" dxfId="6" priority="764">
      <formula>COUNTIFS($A:$A,$A121,$B:$B,$B121,$C:$C,$C121,$D:$D,$D121,$E:$E,$E121,$F:$F,$F121,$K:$K,$K121)&gt;1</formula>
    </cfRule>
  </conditionalFormatting>
  <conditionalFormatting sqref="K285 A285:F285">
    <cfRule type="expression" dxfId="5" priority="768">
      <formula>COUNTIFS($A:$A,#REF!,$B:$B,#REF!,$C:$C,#REF!,$D:$D,#REF!,$E:$E,#REF!,$F:$F,#REF!,$K:$K,#REF!)&gt;1</formula>
    </cfRule>
  </conditionalFormatting>
  <conditionalFormatting sqref="K121:K123 A121:F123">
    <cfRule type="expression" dxfId="4" priority="785">
      <formula>COUNTIFS($A:$A,$A1048533,$B:$B,$B1048533,$C:$C,$C1048533,$D:$D,$D1048533,$E:$E,$E1048533,$F:$F,$F1048533,$K:$K,$K1048533)&gt;1</formula>
    </cfRule>
  </conditionalFormatting>
  <conditionalFormatting sqref="K127:K144 A127:F144 K364:K365 A364:F365">
    <cfRule type="expression" dxfId="3" priority="805">
      <formula>COUNTIFS($A:$A,$A1048542,$B:$B,$B1048542,$C:$C,$C1048542,$D:$D,$D1048542,$E:$E,$E1048542,$F:$F,$F1048542,$K:$K,$K1048542)&gt;1</formula>
    </cfRule>
  </conditionalFormatting>
  <conditionalFormatting sqref="K118:K120 A118:F120">
    <cfRule type="expression" dxfId="2" priority="819">
      <formula>COUNTIFS($A:$A,$A1048529,$B:$B,$B1048529,$C:$C,$C1048529,$D:$D,$D1048529,$E:$E,$E1048529,$F:$F,$F1048529,$K:$K,$K1048529)&gt;1</formula>
    </cfRule>
  </conditionalFormatting>
  <conditionalFormatting sqref="K97:K117 A97:F117 R103 R101">
    <cfRule type="expression" dxfId="1" priority="899">
      <formula>COUNTIFS($A:$A,$A1048506,$B:$B,$B1048506,$C:$C,$C1048506,$D:$D,$D1048506,$E:$E,$E1048506,$F:$F,$F1048506,$K:$K,$K1048506)&gt;1</formula>
    </cfRule>
  </conditionalFormatting>
  <conditionalFormatting sqref="K2:K96 A2:F96">
    <cfRule type="expression" dxfId="0" priority="903">
      <formula>COUNTIFS($A:$A,$A1048409,$B:$B,$B1048409,$C:$C,$C1048409,$D:$D,$D1048409,$E:$E,$E1048409,$F:$F,$F1048409,$K:$K,$K1048409)&gt;1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77"/>
  <sheetViews>
    <sheetView zoomScale="56"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:Q77" ca="1">_xlfn._xlws.FILTER(Specifications!B2:R99991, Specifications!A2:A99991 = "Australia", "")</f>
        <v>#NAME?</v>
      </c>
      <c r="B2" t="e">
        <f ca="1"/>
        <v>#NAME?</v>
      </c>
      <c r="C2" t="e">
        <f ca="1"/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  <c r="M2" t="e">
        <f ca="1"/>
        <v>#NAME?</v>
      </c>
      <c r="N2" t="e">
        <f ca="1"/>
        <v>#NAME?</v>
      </c>
      <c r="O2" t="e">
        <f ca="1"/>
        <v>#NAME?</v>
      </c>
      <c r="P2" t="e">
        <f ca="1"/>
        <v>#NAME?</v>
      </c>
      <c r="Q2" t="e">
        <f ca="1"/>
        <v>#NAME?</v>
      </c>
    </row>
    <row r="3" spans="1:17">
      <c r="A3" t="e">
        <f ca="1"/>
        <v>#NAME?</v>
      </c>
      <c r="B3" t="e">
        <f ca="1"/>
        <v>#NAME?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  <c r="M3" t="e">
        <f ca="1"/>
        <v>#NAME?</v>
      </c>
      <c r="N3" t="e">
        <f ca="1"/>
        <v>#NAME?</v>
      </c>
      <c r="O3" t="e">
        <f ca="1"/>
        <v>#NAME?</v>
      </c>
      <c r="P3" t="e">
        <f ca="1"/>
        <v>#NAME?</v>
      </c>
      <c r="Q3" t="e">
        <f ca="1"/>
        <v>#NAME?</v>
      </c>
    </row>
    <row r="4" spans="1:17">
      <c r="A4" t="e">
        <f ca="1"/>
        <v>#NAME?</v>
      </c>
      <c r="B4" t="e">
        <f ca="1"/>
        <v>#NAME?</v>
      </c>
      <c r="C4" t="e">
        <f ca="1"/>
        <v>#NAME?</v>
      </c>
      <c r="D4" t="e">
        <f ca="1"/>
        <v>#NAME?</v>
      </c>
      <c r="E4" t="e">
        <f ca="1"/>
        <v>#NAME?</v>
      </c>
      <c r="F4" t="e">
        <f ca="1"/>
        <v>#NAME?</v>
      </c>
      <c r="G4" t="e">
        <f ca="1"/>
        <v>#NAME?</v>
      </c>
      <c r="H4" t="e">
        <f ca="1"/>
        <v>#NAME?</v>
      </c>
      <c r="I4" t="e">
        <f ca="1"/>
        <v>#NAME?</v>
      </c>
      <c r="J4" t="e">
        <f ca="1"/>
        <v>#NAME?</v>
      </c>
      <c r="K4" t="e">
        <f ca="1"/>
        <v>#NAME?</v>
      </c>
      <c r="L4" t="e">
        <f ca="1"/>
        <v>#NAME?</v>
      </c>
      <c r="M4" t="e">
        <f ca="1"/>
        <v>#NAME?</v>
      </c>
      <c r="N4" t="e">
        <f ca="1"/>
        <v>#NAME?</v>
      </c>
      <c r="O4" t="e">
        <f ca="1"/>
        <v>#NAME?</v>
      </c>
      <c r="P4" t="e">
        <f ca="1"/>
        <v>#NAME?</v>
      </c>
      <c r="Q4" t="e">
        <f ca="1"/>
        <v>#NAME?</v>
      </c>
    </row>
    <row r="5" spans="1:17">
      <c r="A5" t="e">
        <f ca="1"/>
        <v>#NAME?</v>
      </c>
      <c r="B5" t="e">
        <f ca="1"/>
        <v>#NAME?</v>
      </c>
      <c r="C5" t="e">
        <f ca="1"/>
        <v>#NAME?</v>
      </c>
      <c r="D5" t="e">
        <f ca="1"/>
        <v>#NAME?</v>
      </c>
      <c r="E5" t="e">
        <f ca="1"/>
        <v>#NAME?</v>
      </c>
      <c r="F5" t="e">
        <f ca="1"/>
        <v>#NAME?</v>
      </c>
      <c r="G5" t="e">
        <f ca="1"/>
        <v>#NAME?</v>
      </c>
      <c r="H5" t="e">
        <f ca="1"/>
        <v>#NAME?</v>
      </c>
      <c r="I5" t="e">
        <f ca="1"/>
        <v>#NAME?</v>
      </c>
      <c r="J5" t="e">
        <f ca="1"/>
        <v>#NAME?</v>
      </c>
      <c r="K5" t="e">
        <f ca="1"/>
        <v>#NAME?</v>
      </c>
      <c r="L5" t="e">
        <f ca="1"/>
        <v>#NAME?</v>
      </c>
      <c r="M5" t="e">
        <f ca="1"/>
        <v>#NAME?</v>
      </c>
      <c r="N5" t="e">
        <f ca="1"/>
        <v>#NAME?</v>
      </c>
      <c r="O5" t="e">
        <f ca="1"/>
        <v>#NAME?</v>
      </c>
      <c r="P5" t="e">
        <f ca="1"/>
        <v>#NAME?</v>
      </c>
      <c r="Q5" t="e">
        <f ca="1"/>
        <v>#NAME?</v>
      </c>
    </row>
    <row r="6" spans="1:17">
      <c r="A6" t="e">
        <f ca="1"/>
        <v>#NAME?</v>
      </c>
      <c r="B6" t="e">
        <f ca="1"/>
        <v>#NAME?</v>
      </c>
      <c r="C6" t="e">
        <f ca="1"/>
        <v>#NAME?</v>
      </c>
      <c r="D6" t="e">
        <f ca="1"/>
        <v>#NAME?</v>
      </c>
      <c r="E6" t="e">
        <f ca="1"/>
        <v>#NAME?</v>
      </c>
      <c r="F6" t="e">
        <f ca="1"/>
        <v>#NAME?</v>
      </c>
      <c r="G6" t="e">
        <f ca="1"/>
        <v>#NAME?</v>
      </c>
      <c r="H6" t="e">
        <f ca="1"/>
        <v>#NAME?</v>
      </c>
      <c r="I6" t="e">
        <f ca="1"/>
        <v>#NAME?</v>
      </c>
      <c r="J6" t="e">
        <f ca="1"/>
        <v>#NAME?</v>
      </c>
      <c r="K6" t="e">
        <f ca="1"/>
        <v>#NAME?</v>
      </c>
      <c r="L6" t="e">
        <f ca="1"/>
        <v>#NAME?</v>
      </c>
      <c r="M6" t="e">
        <f ca="1"/>
        <v>#NAME?</v>
      </c>
      <c r="N6" t="e">
        <f ca="1"/>
        <v>#NAME?</v>
      </c>
      <c r="O6" t="e">
        <f ca="1"/>
        <v>#NAME?</v>
      </c>
      <c r="P6" t="e">
        <f ca="1"/>
        <v>#NAME?</v>
      </c>
      <c r="Q6" t="e">
        <f ca="1"/>
        <v>#NAME?</v>
      </c>
    </row>
    <row r="7" spans="1:17">
      <c r="A7" t="e">
        <f ca="1"/>
        <v>#NAME?</v>
      </c>
      <c r="B7" t="e">
        <f ca="1"/>
        <v>#NAME?</v>
      </c>
      <c r="C7" t="e">
        <f ca="1"/>
        <v>#NAME?</v>
      </c>
      <c r="D7" t="e">
        <f ca="1"/>
        <v>#NAME?</v>
      </c>
      <c r="E7" t="e">
        <f ca="1"/>
        <v>#NAME?</v>
      </c>
      <c r="F7" t="e">
        <f ca="1"/>
        <v>#NAME?</v>
      </c>
      <c r="G7" t="e">
        <f ca="1"/>
        <v>#NAME?</v>
      </c>
      <c r="H7" t="e">
        <f ca="1"/>
        <v>#NAME?</v>
      </c>
      <c r="I7" t="e">
        <f ca="1"/>
        <v>#NAME?</v>
      </c>
      <c r="J7" t="e">
        <f ca="1"/>
        <v>#NAME?</v>
      </c>
      <c r="K7" t="e">
        <f ca="1"/>
        <v>#NAME?</v>
      </c>
      <c r="L7" t="e">
        <f ca="1"/>
        <v>#NAME?</v>
      </c>
      <c r="M7" t="e">
        <f ca="1"/>
        <v>#NAME?</v>
      </c>
      <c r="N7" t="e">
        <f ca="1"/>
        <v>#NAME?</v>
      </c>
      <c r="O7" t="e">
        <f ca="1"/>
        <v>#NAME?</v>
      </c>
      <c r="P7" t="e">
        <f ca="1"/>
        <v>#NAME?</v>
      </c>
      <c r="Q7" t="e">
        <f ca="1"/>
        <v>#NAME?</v>
      </c>
    </row>
    <row r="8" spans="1:17">
      <c r="A8" t="e">
        <f ca="1"/>
        <v>#NAME?</v>
      </c>
      <c r="B8" t="e">
        <f ca="1"/>
        <v>#NAME?</v>
      </c>
      <c r="C8" t="e">
        <f ca="1"/>
        <v>#NAME?</v>
      </c>
      <c r="D8" t="e">
        <f ca="1"/>
        <v>#NAME?</v>
      </c>
      <c r="E8" t="e">
        <f ca="1"/>
        <v>#NAME?</v>
      </c>
      <c r="F8" t="e">
        <f ca="1"/>
        <v>#NAME?</v>
      </c>
      <c r="G8" t="e">
        <f ca="1"/>
        <v>#NAME?</v>
      </c>
      <c r="H8" t="e">
        <f ca="1"/>
        <v>#NAME?</v>
      </c>
      <c r="I8" t="e">
        <f ca="1"/>
        <v>#NAME?</v>
      </c>
      <c r="J8" t="e">
        <f ca="1"/>
        <v>#NAME?</v>
      </c>
      <c r="K8" t="e">
        <f ca="1"/>
        <v>#NAME?</v>
      </c>
      <c r="L8" t="e">
        <f ca="1"/>
        <v>#NAME?</v>
      </c>
      <c r="M8" t="e">
        <f ca="1"/>
        <v>#NAME?</v>
      </c>
      <c r="N8" t="e">
        <f ca="1"/>
        <v>#NAME?</v>
      </c>
      <c r="O8" t="e">
        <f ca="1"/>
        <v>#NAME?</v>
      </c>
      <c r="P8" t="e">
        <f ca="1"/>
        <v>#NAME?</v>
      </c>
      <c r="Q8" t="e">
        <f ca="1"/>
        <v>#NAME?</v>
      </c>
    </row>
    <row r="9" spans="1:17">
      <c r="A9" t="e">
        <f ca="1"/>
        <v>#NAME?</v>
      </c>
      <c r="B9" t="e">
        <f ca="1"/>
        <v>#NAME?</v>
      </c>
      <c r="C9" t="e">
        <f ca="1"/>
        <v>#NAME?</v>
      </c>
      <c r="D9" t="e">
        <f ca="1"/>
        <v>#NAME?</v>
      </c>
      <c r="E9" t="e">
        <f ca="1"/>
        <v>#NAME?</v>
      </c>
      <c r="F9" t="e">
        <f ca="1"/>
        <v>#NAME?</v>
      </c>
      <c r="G9" t="e">
        <f ca="1"/>
        <v>#NAME?</v>
      </c>
      <c r="H9" t="e">
        <f ca="1"/>
        <v>#NAME?</v>
      </c>
      <c r="I9" t="e">
        <f ca="1"/>
        <v>#NAME?</v>
      </c>
      <c r="J9" t="e">
        <f ca="1"/>
        <v>#NAME?</v>
      </c>
      <c r="K9" t="e">
        <f ca="1"/>
        <v>#NAME?</v>
      </c>
      <c r="L9" t="e">
        <f ca="1"/>
        <v>#NAME?</v>
      </c>
      <c r="M9" t="e">
        <f ca="1"/>
        <v>#NAME?</v>
      </c>
      <c r="N9" t="e">
        <f ca="1"/>
        <v>#NAME?</v>
      </c>
      <c r="O9" t="e">
        <f ca="1"/>
        <v>#NAME?</v>
      </c>
      <c r="P9" t="e">
        <f ca="1"/>
        <v>#NAME?</v>
      </c>
      <c r="Q9" t="e">
        <f ca="1"/>
        <v>#NAME?</v>
      </c>
    </row>
    <row r="10" spans="1:17">
      <c r="A10" t="e">
        <f ca="1"/>
        <v>#NAME?</v>
      </c>
      <c r="B10" t="e">
        <f ca="1"/>
        <v>#NAME?</v>
      </c>
      <c r="C10" t="e">
        <f ca="1"/>
        <v>#NAME?</v>
      </c>
      <c r="D10" t="e">
        <f ca="1"/>
        <v>#NAME?</v>
      </c>
      <c r="E10" t="e">
        <f ca="1"/>
        <v>#NAME?</v>
      </c>
      <c r="F10" t="e">
        <f ca="1"/>
        <v>#NAME?</v>
      </c>
      <c r="G10" t="e">
        <f ca="1"/>
        <v>#NAME?</v>
      </c>
      <c r="H10" t="e">
        <f ca="1"/>
        <v>#NAME?</v>
      </c>
      <c r="I10" t="e">
        <f ca="1"/>
        <v>#NAME?</v>
      </c>
      <c r="J10" t="e">
        <f ca="1"/>
        <v>#NAME?</v>
      </c>
      <c r="K10" t="e">
        <f ca="1"/>
        <v>#NAME?</v>
      </c>
      <c r="L10" t="e">
        <f ca="1"/>
        <v>#NAME?</v>
      </c>
      <c r="M10" t="e">
        <f ca="1"/>
        <v>#NAME?</v>
      </c>
      <c r="N10" t="e">
        <f ca="1"/>
        <v>#NAME?</v>
      </c>
      <c r="O10" t="e">
        <f ca="1"/>
        <v>#NAME?</v>
      </c>
      <c r="P10" t="e">
        <f ca="1"/>
        <v>#NAME?</v>
      </c>
      <c r="Q10" t="e">
        <f ca="1"/>
        <v>#NAME?</v>
      </c>
    </row>
    <row r="11" spans="1:17">
      <c r="A11" t="e">
        <f ca="1"/>
        <v>#NAME?</v>
      </c>
      <c r="B11" t="e">
        <f ca="1"/>
        <v>#NAME?</v>
      </c>
      <c r="C11" t="e">
        <f ca="1"/>
        <v>#NAME?</v>
      </c>
      <c r="D11" t="e">
        <f ca="1"/>
        <v>#NAME?</v>
      </c>
      <c r="E11" t="e">
        <f ca="1"/>
        <v>#NAME?</v>
      </c>
      <c r="F11" t="e">
        <f ca="1"/>
        <v>#NAME?</v>
      </c>
      <c r="G11" t="e">
        <f ca="1"/>
        <v>#NAME?</v>
      </c>
      <c r="H11" t="e">
        <f ca="1"/>
        <v>#NAME?</v>
      </c>
      <c r="I11" t="e">
        <f ca="1"/>
        <v>#NAME?</v>
      </c>
      <c r="J11" t="e">
        <f ca="1"/>
        <v>#NAME?</v>
      </c>
      <c r="K11" t="e">
        <f ca="1"/>
        <v>#NAME?</v>
      </c>
      <c r="L11" t="e">
        <f ca="1"/>
        <v>#NAME?</v>
      </c>
      <c r="M11" t="e">
        <f ca="1"/>
        <v>#NAME?</v>
      </c>
      <c r="N11" t="e">
        <f ca="1"/>
        <v>#NAME?</v>
      </c>
      <c r="O11" t="e">
        <f ca="1"/>
        <v>#NAME?</v>
      </c>
      <c r="P11" t="e">
        <f ca="1"/>
        <v>#NAME?</v>
      </c>
      <c r="Q11" t="e">
        <f ca="1"/>
        <v>#NAME?</v>
      </c>
    </row>
    <row r="12" spans="1:17">
      <c r="A12" t="e">
        <f ca="1"/>
        <v>#NAME?</v>
      </c>
      <c r="B12" t="e">
        <f ca="1"/>
        <v>#NAME?</v>
      </c>
      <c r="C12" t="e">
        <f ca="1"/>
        <v>#NAME?</v>
      </c>
      <c r="D12" t="e">
        <f ca="1"/>
        <v>#NAME?</v>
      </c>
      <c r="E12" t="e">
        <f ca="1"/>
        <v>#NAME?</v>
      </c>
      <c r="F12" t="e">
        <f ca="1"/>
        <v>#NAME?</v>
      </c>
      <c r="G12" t="e">
        <f ca="1"/>
        <v>#NAME?</v>
      </c>
      <c r="H12" t="e">
        <f ca="1"/>
        <v>#NAME?</v>
      </c>
      <c r="I12" t="e">
        <f ca="1"/>
        <v>#NAME?</v>
      </c>
      <c r="J12" t="e">
        <f ca="1"/>
        <v>#NAME?</v>
      </c>
      <c r="K12" t="e">
        <f ca="1"/>
        <v>#NAME?</v>
      </c>
      <c r="L12" t="e">
        <f ca="1"/>
        <v>#NAME?</v>
      </c>
      <c r="M12" t="e">
        <f ca="1"/>
        <v>#NAME?</v>
      </c>
      <c r="N12" t="e">
        <f ca="1"/>
        <v>#NAME?</v>
      </c>
      <c r="O12" t="e">
        <f ca="1"/>
        <v>#NAME?</v>
      </c>
      <c r="P12" t="e">
        <f ca="1"/>
        <v>#NAME?</v>
      </c>
      <c r="Q12" t="e">
        <f ca="1"/>
        <v>#NAME?</v>
      </c>
    </row>
    <row r="13" spans="1:17">
      <c r="A13" t="e">
        <f ca="1"/>
        <v>#NAME?</v>
      </c>
      <c r="B13" t="e">
        <f ca="1"/>
        <v>#NAME?</v>
      </c>
      <c r="C13" t="e">
        <f ca="1"/>
        <v>#NAME?</v>
      </c>
      <c r="D13" t="e">
        <f ca="1"/>
        <v>#NAME?</v>
      </c>
      <c r="E13" t="e">
        <f ca="1"/>
        <v>#NAME?</v>
      </c>
      <c r="F13" t="e">
        <f ca="1"/>
        <v>#NAME?</v>
      </c>
      <c r="G13" t="e">
        <f ca="1"/>
        <v>#NAME?</v>
      </c>
      <c r="H13" t="e">
        <f ca="1"/>
        <v>#NAME?</v>
      </c>
      <c r="I13" t="e">
        <f ca="1"/>
        <v>#NAME?</v>
      </c>
      <c r="J13" t="e">
        <f ca="1"/>
        <v>#NAME?</v>
      </c>
      <c r="K13" t="e">
        <f ca="1"/>
        <v>#NAME?</v>
      </c>
      <c r="L13" t="e">
        <f ca="1"/>
        <v>#NAME?</v>
      </c>
      <c r="M13" t="e">
        <f ca="1"/>
        <v>#NAME?</v>
      </c>
      <c r="N13" t="e">
        <f ca="1"/>
        <v>#NAME?</v>
      </c>
      <c r="O13" t="e">
        <f ca="1"/>
        <v>#NAME?</v>
      </c>
      <c r="P13" t="e">
        <f ca="1"/>
        <v>#NAME?</v>
      </c>
      <c r="Q13" t="e">
        <f ca="1"/>
        <v>#NAME?</v>
      </c>
    </row>
    <row r="14" spans="1:17">
      <c r="A14" t="e">
        <f ca="1"/>
        <v>#NAME?</v>
      </c>
      <c r="B14" t="e">
        <f ca="1"/>
        <v>#NAME?</v>
      </c>
      <c r="C14" t="e">
        <f ca="1"/>
        <v>#NAME?</v>
      </c>
      <c r="D14" t="e">
        <f ca="1"/>
        <v>#NAME?</v>
      </c>
      <c r="E14" t="e">
        <f ca="1"/>
        <v>#NAME?</v>
      </c>
      <c r="F14" t="e">
        <f ca="1"/>
        <v>#NAME?</v>
      </c>
      <c r="G14" t="e">
        <f ca="1"/>
        <v>#NAME?</v>
      </c>
      <c r="H14" t="e">
        <f ca="1"/>
        <v>#NAME?</v>
      </c>
      <c r="I14" t="e">
        <f ca="1"/>
        <v>#NAME?</v>
      </c>
      <c r="J14" t="e">
        <f ca="1"/>
        <v>#NAME?</v>
      </c>
      <c r="K14" t="e">
        <f ca="1"/>
        <v>#NAME?</v>
      </c>
      <c r="L14" t="e">
        <f ca="1"/>
        <v>#NAME?</v>
      </c>
      <c r="M14" t="e">
        <f ca="1"/>
        <v>#NAME?</v>
      </c>
      <c r="N14" t="e">
        <f ca="1"/>
        <v>#NAME?</v>
      </c>
      <c r="O14" t="e">
        <f ca="1"/>
        <v>#NAME?</v>
      </c>
      <c r="P14" t="e">
        <f ca="1"/>
        <v>#NAME?</v>
      </c>
      <c r="Q14" t="e">
        <f ca="1"/>
        <v>#NAME?</v>
      </c>
    </row>
    <row r="15" spans="1:17">
      <c r="A15" t="e">
        <f ca="1"/>
        <v>#NAME?</v>
      </c>
      <c r="B15" t="e">
        <f ca="1"/>
        <v>#NAME?</v>
      </c>
      <c r="C15" t="e">
        <f ca="1"/>
        <v>#NAME?</v>
      </c>
      <c r="D15" t="e">
        <f ca="1"/>
        <v>#NAME?</v>
      </c>
      <c r="E15" t="e">
        <f ca="1"/>
        <v>#NAME?</v>
      </c>
      <c r="F15" t="e">
        <f ca="1"/>
        <v>#NAME?</v>
      </c>
      <c r="G15" t="e">
        <f ca="1"/>
        <v>#NAME?</v>
      </c>
      <c r="H15" t="e">
        <f ca="1"/>
        <v>#NAME?</v>
      </c>
      <c r="I15" t="e">
        <f ca="1"/>
        <v>#NAME?</v>
      </c>
      <c r="J15" t="e">
        <f ca="1"/>
        <v>#NAME?</v>
      </c>
      <c r="K15" t="e">
        <f ca="1"/>
        <v>#NAME?</v>
      </c>
      <c r="L15" t="e">
        <f ca="1"/>
        <v>#NAME?</v>
      </c>
      <c r="M15" t="e">
        <f ca="1"/>
        <v>#NAME?</v>
      </c>
      <c r="N15" t="e">
        <f ca="1"/>
        <v>#NAME?</v>
      </c>
      <c r="O15" t="e">
        <f ca="1"/>
        <v>#NAME?</v>
      </c>
      <c r="P15" t="e">
        <f ca="1"/>
        <v>#NAME?</v>
      </c>
      <c r="Q15" t="e">
        <f ca="1"/>
        <v>#NAME?</v>
      </c>
    </row>
    <row r="16" spans="1:17">
      <c r="A16" t="e">
        <f ca="1"/>
        <v>#NAME?</v>
      </c>
      <c r="B16" t="e">
        <f ca="1"/>
        <v>#NAME?</v>
      </c>
      <c r="C16" t="e">
        <f ca="1"/>
        <v>#NAME?</v>
      </c>
      <c r="D16" t="e">
        <f ca="1"/>
        <v>#NAME?</v>
      </c>
      <c r="E16" t="e">
        <f ca="1"/>
        <v>#NAME?</v>
      </c>
      <c r="F16" t="e">
        <f ca="1"/>
        <v>#NAME?</v>
      </c>
      <c r="G16" t="e">
        <f ca="1"/>
        <v>#NAME?</v>
      </c>
      <c r="H16" t="e">
        <f ca="1"/>
        <v>#NAME?</v>
      </c>
      <c r="I16" t="e">
        <f ca="1"/>
        <v>#NAME?</v>
      </c>
      <c r="J16" t="e">
        <f ca="1"/>
        <v>#NAME?</v>
      </c>
      <c r="K16" t="e">
        <f ca="1"/>
        <v>#NAME?</v>
      </c>
      <c r="L16" t="e">
        <f ca="1"/>
        <v>#NAME?</v>
      </c>
      <c r="M16" t="e">
        <f ca="1"/>
        <v>#NAME?</v>
      </c>
      <c r="N16" t="e">
        <f ca="1"/>
        <v>#NAME?</v>
      </c>
      <c r="O16" t="e">
        <f ca="1"/>
        <v>#NAME?</v>
      </c>
      <c r="P16" t="e">
        <f ca="1"/>
        <v>#NAME?</v>
      </c>
      <c r="Q16" t="e">
        <f ca="1"/>
        <v>#NAME?</v>
      </c>
    </row>
    <row r="17" spans="1:17">
      <c r="A17" t="e">
        <f ca="1"/>
        <v>#NAME?</v>
      </c>
      <c r="B17" t="e">
        <f ca="1"/>
        <v>#NAME?</v>
      </c>
      <c r="C17" t="e">
        <f ca="1"/>
        <v>#NAME?</v>
      </c>
      <c r="D17" t="e">
        <f ca="1"/>
        <v>#NAME?</v>
      </c>
      <c r="E17" t="e">
        <f ca="1"/>
        <v>#NAME?</v>
      </c>
      <c r="F17" t="e">
        <f ca="1"/>
        <v>#NAME?</v>
      </c>
      <c r="G17" t="e">
        <f ca="1"/>
        <v>#NAME?</v>
      </c>
      <c r="H17" t="e">
        <f ca="1"/>
        <v>#NAME?</v>
      </c>
      <c r="I17" t="e">
        <f ca="1"/>
        <v>#NAME?</v>
      </c>
      <c r="J17" t="e">
        <f ca="1"/>
        <v>#NAME?</v>
      </c>
      <c r="K17" t="e">
        <f ca="1"/>
        <v>#NAME?</v>
      </c>
      <c r="L17" t="e">
        <f ca="1"/>
        <v>#NAME?</v>
      </c>
      <c r="M17" t="e">
        <f ca="1"/>
        <v>#NAME?</v>
      </c>
      <c r="N17" t="e">
        <f ca="1"/>
        <v>#NAME?</v>
      </c>
      <c r="O17" t="e">
        <f ca="1"/>
        <v>#NAME?</v>
      </c>
      <c r="P17" t="e">
        <f ca="1"/>
        <v>#NAME?</v>
      </c>
      <c r="Q17" t="e">
        <f ca="1"/>
        <v>#NAME?</v>
      </c>
    </row>
    <row r="18" spans="1:17">
      <c r="A18" t="e">
        <f ca="1"/>
        <v>#NAME?</v>
      </c>
      <c r="B18" t="e">
        <f ca="1"/>
        <v>#NAME?</v>
      </c>
      <c r="C18" t="e">
        <f ca="1"/>
        <v>#NAME?</v>
      </c>
      <c r="D18" t="e">
        <f ca="1"/>
        <v>#NAME?</v>
      </c>
      <c r="E18" t="e">
        <f ca="1"/>
        <v>#NAME?</v>
      </c>
      <c r="F18" t="e">
        <f ca="1"/>
        <v>#NAME?</v>
      </c>
      <c r="G18" t="e">
        <f ca="1"/>
        <v>#NAME?</v>
      </c>
      <c r="H18" t="e">
        <f ca="1"/>
        <v>#NAME?</v>
      </c>
      <c r="I18" t="e">
        <f ca="1"/>
        <v>#NAME?</v>
      </c>
      <c r="J18" t="e">
        <f ca="1"/>
        <v>#NAME?</v>
      </c>
      <c r="K18" t="e">
        <f ca="1"/>
        <v>#NAME?</v>
      </c>
      <c r="L18" t="e">
        <f ca="1"/>
        <v>#NAME?</v>
      </c>
      <c r="M18" t="e">
        <f ca="1"/>
        <v>#NAME?</v>
      </c>
      <c r="N18" t="e">
        <f ca="1"/>
        <v>#NAME?</v>
      </c>
      <c r="O18" t="e">
        <f ca="1"/>
        <v>#NAME?</v>
      </c>
      <c r="P18" t="e">
        <f ca="1"/>
        <v>#NAME?</v>
      </c>
      <c r="Q18" t="e">
        <f ca="1"/>
        <v>#NAME?</v>
      </c>
    </row>
    <row r="19" spans="1:17">
      <c r="A19" t="e">
        <f ca="1"/>
        <v>#NAME?</v>
      </c>
      <c r="B19" t="e">
        <f ca="1"/>
        <v>#NAME?</v>
      </c>
      <c r="C19" t="e">
        <f ca="1"/>
        <v>#NAME?</v>
      </c>
      <c r="D19" t="e">
        <f ca="1"/>
        <v>#NAME?</v>
      </c>
      <c r="E19" t="e">
        <f ca="1"/>
        <v>#NAME?</v>
      </c>
      <c r="F19" t="e">
        <f ca="1"/>
        <v>#NAME?</v>
      </c>
      <c r="G19" t="e">
        <f ca="1"/>
        <v>#NAME?</v>
      </c>
      <c r="H19" t="e">
        <f ca="1"/>
        <v>#NAME?</v>
      </c>
      <c r="I19" t="e">
        <f ca="1"/>
        <v>#NAME?</v>
      </c>
      <c r="J19" t="e">
        <f ca="1"/>
        <v>#NAME?</v>
      </c>
      <c r="K19" t="e">
        <f ca="1"/>
        <v>#NAME?</v>
      </c>
      <c r="L19" t="e">
        <f ca="1"/>
        <v>#NAME?</v>
      </c>
      <c r="M19" t="e">
        <f ca="1"/>
        <v>#NAME?</v>
      </c>
      <c r="N19" t="e">
        <f ca="1"/>
        <v>#NAME?</v>
      </c>
      <c r="O19" t="e">
        <f ca="1"/>
        <v>#NAME?</v>
      </c>
      <c r="P19" t="e">
        <f ca="1"/>
        <v>#NAME?</v>
      </c>
      <c r="Q19" t="e">
        <f ca="1"/>
        <v>#NAME?</v>
      </c>
    </row>
    <row r="20" spans="1:17">
      <c r="A20" t="e">
        <f ca="1"/>
        <v>#NAME?</v>
      </c>
      <c r="B20" t="e">
        <f ca="1"/>
        <v>#NAME?</v>
      </c>
      <c r="C20" t="e">
        <f ca="1"/>
        <v>#NAME?</v>
      </c>
      <c r="D20" t="e">
        <f ca="1"/>
        <v>#NAME?</v>
      </c>
      <c r="E20" t="e">
        <f ca="1"/>
        <v>#NAME?</v>
      </c>
      <c r="F20" t="e">
        <f ca="1"/>
        <v>#NAME?</v>
      </c>
      <c r="G20" t="e">
        <f ca="1"/>
        <v>#NAME?</v>
      </c>
      <c r="H20" t="e">
        <f ca="1"/>
        <v>#NAME?</v>
      </c>
      <c r="I20" t="e">
        <f ca="1"/>
        <v>#NAME?</v>
      </c>
      <c r="J20" t="e">
        <f ca="1"/>
        <v>#NAME?</v>
      </c>
      <c r="K20" t="e">
        <f ca="1"/>
        <v>#NAME?</v>
      </c>
      <c r="L20" t="e">
        <f ca="1"/>
        <v>#NAME?</v>
      </c>
      <c r="M20" t="e">
        <f ca="1"/>
        <v>#NAME?</v>
      </c>
      <c r="N20" t="e">
        <f ca="1"/>
        <v>#NAME?</v>
      </c>
      <c r="O20" t="e">
        <f ca="1"/>
        <v>#NAME?</v>
      </c>
      <c r="P20" t="e">
        <f ca="1"/>
        <v>#NAME?</v>
      </c>
      <c r="Q20" t="e">
        <f ca="1"/>
        <v>#NAME?</v>
      </c>
    </row>
    <row r="21" spans="1:17">
      <c r="A21" t="e">
        <f ca="1"/>
        <v>#NAME?</v>
      </c>
      <c r="B21" t="e">
        <f ca="1"/>
        <v>#NAME?</v>
      </c>
      <c r="C21" t="e">
        <f ca="1"/>
        <v>#NAME?</v>
      </c>
      <c r="D21" t="e">
        <f ca="1"/>
        <v>#NAME?</v>
      </c>
      <c r="E21" t="e">
        <f ca="1"/>
        <v>#NAME?</v>
      </c>
      <c r="F21" t="e">
        <f ca="1"/>
        <v>#NAME?</v>
      </c>
      <c r="G21" t="e">
        <f ca="1"/>
        <v>#NAME?</v>
      </c>
      <c r="H21" t="e">
        <f ca="1"/>
        <v>#NAME?</v>
      </c>
      <c r="I21" t="e">
        <f ca="1"/>
        <v>#NAME?</v>
      </c>
      <c r="J21" t="e">
        <f ca="1"/>
        <v>#NAME?</v>
      </c>
      <c r="K21" t="e">
        <f ca="1"/>
        <v>#NAME?</v>
      </c>
      <c r="L21" t="e">
        <f ca="1"/>
        <v>#NAME?</v>
      </c>
      <c r="M21" t="e">
        <f ca="1"/>
        <v>#NAME?</v>
      </c>
      <c r="N21" t="e">
        <f ca="1"/>
        <v>#NAME?</v>
      </c>
      <c r="O21" t="e">
        <f ca="1"/>
        <v>#NAME?</v>
      </c>
      <c r="P21" t="e">
        <f ca="1"/>
        <v>#NAME?</v>
      </c>
      <c r="Q21" t="e">
        <f ca="1"/>
        <v>#NAME?</v>
      </c>
    </row>
    <row r="22" spans="1:17">
      <c r="A22" t="e">
        <f ca="1"/>
        <v>#NAME?</v>
      </c>
      <c r="B22" t="e">
        <f ca="1"/>
        <v>#NAME?</v>
      </c>
      <c r="C22" t="e">
        <f ca="1"/>
        <v>#NAME?</v>
      </c>
      <c r="D22" t="e">
        <f ca="1"/>
        <v>#NAME?</v>
      </c>
      <c r="E22" t="e">
        <f ca="1"/>
        <v>#NAME?</v>
      </c>
      <c r="F22" t="e">
        <f ca="1"/>
        <v>#NAME?</v>
      </c>
      <c r="G22" t="e">
        <f ca="1"/>
        <v>#NAME?</v>
      </c>
      <c r="H22" t="e">
        <f ca="1"/>
        <v>#NAME?</v>
      </c>
      <c r="I22" t="e">
        <f ca="1"/>
        <v>#NAME?</v>
      </c>
      <c r="J22" t="e">
        <f ca="1"/>
        <v>#NAME?</v>
      </c>
      <c r="K22" t="e">
        <f ca="1"/>
        <v>#NAME?</v>
      </c>
      <c r="L22" t="e">
        <f ca="1"/>
        <v>#NAME?</v>
      </c>
      <c r="M22" t="e">
        <f ca="1"/>
        <v>#NAME?</v>
      </c>
      <c r="N22" t="e">
        <f ca="1"/>
        <v>#NAME?</v>
      </c>
      <c r="O22" t="e">
        <f ca="1"/>
        <v>#NAME?</v>
      </c>
      <c r="P22" t="e">
        <f ca="1"/>
        <v>#NAME?</v>
      </c>
      <c r="Q22" t="e">
        <f ca="1"/>
        <v>#NAME?</v>
      </c>
    </row>
    <row r="23" spans="1:17">
      <c r="A23" t="e">
        <f ca="1"/>
        <v>#NAME?</v>
      </c>
      <c r="B23" t="e">
        <f ca="1"/>
        <v>#NAME?</v>
      </c>
      <c r="C23" t="e">
        <f ca="1"/>
        <v>#NAME?</v>
      </c>
      <c r="D23" t="e">
        <f ca="1"/>
        <v>#NAME?</v>
      </c>
      <c r="E23" t="e">
        <f ca="1"/>
        <v>#NAME?</v>
      </c>
      <c r="F23" t="e">
        <f ca="1"/>
        <v>#NAME?</v>
      </c>
      <c r="G23" t="e">
        <f ca="1"/>
        <v>#NAME?</v>
      </c>
      <c r="H23" t="e">
        <f ca="1"/>
        <v>#NAME?</v>
      </c>
      <c r="I23" t="e">
        <f ca="1"/>
        <v>#NAME?</v>
      </c>
      <c r="J23" t="e">
        <f ca="1"/>
        <v>#NAME?</v>
      </c>
      <c r="K23" t="e">
        <f ca="1"/>
        <v>#NAME?</v>
      </c>
      <c r="L23" t="e">
        <f ca="1"/>
        <v>#NAME?</v>
      </c>
      <c r="M23" t="e">
        <f ca="1"/>
        <v>#NAME?</v>
      </c>
      <c r="N23" t="e">
        <f ca="1"/>
        <v>#NAME?</v>
      </c>
      <c r="O23" t="e">
        <f ca="1"/>
        <v>#NAME?</v>
      </c>
      <c r="P23" t="e">
        <f ca="1"/>
        <v>#NAME?</v>
      </c>
      <c r="Q23" t="e">
        <f ca="1"/>
        <v>#NAME?</v>
      </c>
    </row>
    <row r="24" spans="1:17">
      <c r="A24" t="e">
        <f ca="1"/>
        <v>#NAME?</v>
      </c>
      <c r="B24" t="e">
        <f ca="1"/>
        <v>#NAME?</v>
      </c>
      <c r="C24" t="e">
        <f ca="1"/>
        <v>#NAME?</v>
      </c>
      <c r="D24" t="e">
        <f ca="1"/>
        <v>#NAME?</v>
      </c>
      <c r="E24" t="e">
        <f ca="1"/>
        <v>#NAME?</v>
      </c>
      <c r="F24" t="e">
        <f ca="1"/>
        <v>#NAME?</v>
      </c>
      <c r="G24" t="e">
        <f ca="1"/>
        <v>#NAME?</v>
      </c>
      <c r="H24" t="e">
        <f ca="1"/>
        <v>#NAME?</v>
      </c>
      <c r="I24" t="e">
        <f ca="1"/>
        <v>#NAME?</v>
      </c>
      <c r="J24" t="e">
        <f ca="1"/>
        <v>#NAME?</v>
      </c>
      <c r="K24" t="e">
        <f ca="1"/>
        <v>#NAME?</v>
      </c>
      <c r="L24" t="e">
        <f ca="1"/>
        <v>#NAME?</v>
      </c>
      <c r="M24" t="e">
        <f ca="1"/>
        <v>#NAME?</v>
      </c>
      <c r="N24" t="e">
        <f ca="1"/>
        <v>#NAME?</v>
      </c>
      <c r="O24" t="e">
        <f ca="1"/>
        <v>#NAME?</v>
      </c>
      <c r="P24" t="e">
        <f ca="1"/>
        <v>#NAME?</v>
      </c>
      <c r="Q24" t="e">
        <f ca="1"/>
        <v>#NAME?</v>
      </c>
    </row>
    <row r="25" spans="1:17">
      <c r="A25" t="e">
        <f ca="1"/>
        <v>#NAME?</v>
      </c>
      <c r="B25" t="e">
        <f ca="1"/>
        <v>#NAME?</v>
      </c>
      <c r="C25" t="e">
        <f ca="1"/>
        <v>#NAME?</v>
      </c>
      <c r="D25" t="e">
        <f ca="1"/>
        <v>#NAME?</v>
      </c>
      <c r="E25" t="e">
        <f ca="1"/>
        <v>#NAME?</v>
      </c>
      <c r="F25" t="e">
        <f ca="1"/>
        <v>#NAME?</v>
      </c>
      <c r="G25" t="e">
        <f ca="1"/>
        <v>#NAME?</v>
      </c>
      <c r="H25" t="e">
        <f ca="1"/>
        <v>#NAME?</v>
      </c>
      <c r="I25" t="e">
        <f ca="1"/>
        <v>#NAME?</v>
      </c>
      <c r="J25" t="e">
        <f ca="1"/>
        <v>#NAME?</v>
      </c>
      <c r="K25" t="e">
        <f ca="1"/>
        <v>#NAME?</v>
      </c>
      <c r="L25" t="e">
        <f ca="1"/>
        <v>#NAME?</v>
      </c>
      <c r="M25" t="e">
        <f ca="1"/>
        <v>#NAME?</v>
      </c>
      <c r="N25" t="e">
        <f ca="1"/>
        <v>#NAME?</v>
      </c>
      <c r="O25" t="e">
        <f ca="1"/>
        <v>#NAME?</v>
      </c>
      <c r="P25" t="e">
        <f ca="1"/>
        <v>#NAME?</v>
      </c>
      <c r="Q25" t="e">
        <f ca="1"/>
        <v>#NAME?</v>
      </c>
    </row>
    <row r="26" spans="1:17">
      <c r="A26" t="e">
        <f ca="1"/>
        <v>#NAME?</v>
      </c>
      <c r="B26" t="e">
        <f ca="1"/>
        <v>#NAME?</v>
      </c>
      <c r="C26" t="e">
        <f ca="1"/>
        <v>#NAME?</v>
      </c>
      <c r="D26" t="e">
        <f ca="1"/>
        <v>#NAME?</v>
      </c>
      <c r="E26" t="e">
        <f ca="1"/>
        <v>#NAME?</v>
      </c>
      <c r="F26" t="e">
        <f ca="1"/>
        <v>#NAME?</v>
      </c>
      <c r="G26" t="e">
        <f ca="1"/>
        <v>#NAME?</v>
      </c>
      <c r="H26" t="e">
        <f ca="1"/>
        <v>#NAME?</v>
      </c>
      <c r="I26" t="e">
        <f ca="1"/>
        <v>#NAME?</v>
      </c>
      <c r="J26" t="e">
        <f ca="1"/>
        <v>#NAME?</v>
      </c>
      <c r="K26" t="e">
        <f ca="1"/>
        <v>#NAME?</v>
      </c>
      <c r="L26" t="e">
        <f ca="1"/>
        <v>#NAME?</v>
      </c>
      <c r="M26" t="e">
        <f ca="1"/>
        <v>#NAME?</v>
      </c>
      <c r="N26" t="e">
        <f ca="1"/>
        <v>#NAME?</v>
      </c>
      <c r="O26" t="e">
        <f ca="1"/>
        <v>#NAME?</v>
      </c>
      <c r="P26" t="e">
        <f ca="1"/>
        <v>#NAME?</v>
      </c>
      <c r="Q26" t="e">
        <f ca="1"/>
        <v>#NAME?</v>
      </c>
    </row>
    <row r="27" spans="1:17">
      <c r="A27" t="e">
        <f ca="1"/>
        <v>#NAME?</v>
      </c>
      <c r="B27" t="e">
        <f ca="1"/>
        <v>#NAME?</v>
      </c>
      <c r="C27" t="e">
        <f ca="1"/>
        <v>#NAME?</v>
      </c>
      <c r="D27" t="e">
        <f ca="1"/>
        <v>#NAME?</v>
      </c>
      <c r="E27" t="e">
        <f ca="1"/>
        <v>#NAME?</v>
      </c>
      <c r="F27" t="e">
        <f ca="1"/>
        <v>#NAME?</v>
      </c>
      <c r="G27" t="e">
        <f ca="1"/>
        <v>#NAME?</v>
      </c>
      <c r="H27" t="e">
        <f ca="1"/>
        <v>#NAME?</v>
      </c>
      <c r="I27" t="e">
        <f ca="1"/>
        <v>#NAME?</v>
      </c>
      <c r="J27" t="e">
        <f ca="1"/>
        <v>#NAME?</v>
      </c>
      <c r="K27" t="e">
        <f ca="1"/>
        <v>#NAME?</v>
      </c>
      <c r="L27" t="e">
        <f ca="1"/>
        <v>#NAME?</v>
      </c>
      <c r="M27" t="e">
        <f ca="1"/>
        <v>#NAME?</v>
      </c>
      <c r="N27" t="e">
        <f ca="1"/>
        <v>#NAME?</v>
      </c>
      <c r="O27" t="e">
        <f ca="1"/>
        <v>#NAME?</v>
      </c>
      <c r="P27" t="e">
        <f ca="1"/>
        <v>#NAME?</v>
      </c>
      <c r="Q27" t="e">
        <f ca="1"/>
        <v>#NAME?</v>
      </c>
    </row>
    <row r="28" spans="1:17">
      <c r="A28" t="e">
        <f ca="1"/>
        <v>#NAME?</v>
      </c>
      <c r="B28" t="e">
        <f ca="1"/>
        <v>#NAME?</v>
      </c>
      <c r="C28" t="e">
        <f ca="1"/>
        <v>#NAME?</v>
      </c>
      <c r="D28" t="e">
        <f ca="1"/>
        <v>#NAME?</v>
      </c>
      <c r="E28" t="e">
        <f ca="1"/>
        <v>#NAME?</v>
      </c>
      <c r="F28" t="e">
        <f ca="1"/>
        <v>#NAME?</v>
      </c>
      <c r="G28" t="e">
        <f ca="1"/>
        <v>#NAME?</v>
      </c>
      <c r="H28" t="e">
        <f ca="1"/>
        <v>#NAME?</v>
      </c>
      <c r="I28" t="e">
        <f ca="1"/>
        <v>#NAME?</v>
      </c>
      <c r="J28" t="e">
        <f ca="1"/>
        <v>#NAME?</v>
      </c>
      <c r="K28" t="e">
        <f ca="1"/>
        <v>#NAME?</v>
      </c>
      <c r="L28" t="e">
        <f ca="1"/>
        <v>#NAME?</v>
      </c>
      <c r="M28" t="e">
        <f ca="1"/>
        <v>#NAME?</v>
      </c>
      <c r="N28" t="e">
        <f ca="1"/>
        <v>#NAME?</v>
      </c>
      <c r="O28" t="e">
        <f ca="1"/>
        <v>#NAME?</v>
      </c>
      <c r="P28" t="e">
        <f ca="1"/>
        <v>#NAME?</v>
      </c>
      <c r="Q28" t="e">
        <f ca="1"/>
        <v>#NAME?</v>
      </c>
    </row>
    <row r="29" spans="1:17">
      <c r="A29" t="e">
        <f ca="1"/>
        <v>#NAME?</v>
      </c>
      <c r="B29" t="e">
        <f ca="1"/>
        <v>#NAME?</v>
      </c>
      <c r="C29" t="e">
        <f ca="1"/>
        <v>#NAME?</v>
      </c>
      <c r="D29" t="e">
        <f ca="1"/>
        <v>#NAME?</v>
      </c>
      <c r="E29" t="e">
        <f ca="1"/>
        <v>#NAME?</v>
      </c>
      <c r="F29" t="e">
        <f ca="1"/>
        <v>#NAME?</v>
      </c>
      <c r="G29" t="e">
        <f ca="1"/>
        <v>#NAME?</v>
      </c>
      <c r="H29" t="e">
        <f ca="1"/>
        <v>#NAME?</v>
      </c>
      <c r="I29" t="e">
        <f ca="1"/>
        <v>#NAME?</v>
      </c>
      <c r="J29" t="e">
        <f ca="1"/>
        <v>#NAME?</v>
      </c>
      <c r="K29" t="e">
        <f ca="1"/>
        <v>#NAME?</v>
      </c>
      <c r="L29" t="e">
        <f ca="1"/>
        <v>#NAME?</v>
      </c>
      <c r="M29" t="e">
        <f ca="1"/>
        <v>#NAME?</v>
      </c>
      <c r="N29" t="e">
        <f ca="1"/>
        <v>#NAME?</v>
      </c>
      <c r="O29" t="e">
        <f ca="1"/>
        <v>#NAME?</v>
      </c>
      <c r="P29" t="e">
        <f ca="1"/>
        <v>#NAME?</v>
      </c>
      <c r="Q29" t="e">
        <f ca="1"/>
        <v>#NAME?</v>
      </c>
    </row>
    <row r="30" spans="1:17">
      <c r="A30" t="e">
        <f ca="1"/>
        <v>#NAME?</v>
      </c>
      <c r="B30" t="e">
        <f ca="1"/>
        <v>#NAME?</v>
      </c>
      <c r="C30" t="e">
        <f ca="1"/>
        <v>#NAME?</v>
      </c>
      <c r="D30" t="e">
        <f ca="1"/>
        <v>#NAME?</v>
      </c>
      <c r="E30" t="e">
        <f ca="1"/>
        <v>#NAME?</v>
      </c>
      <c r="F30" t="e">
        <f ca="1"/>
        <v>#NAME?</v>
      </c>
      <c r="G30" t="e">
        <f ca="1"/>
        <v>#NAME?</v>
      </c>
      <c r="H30" t="e">
        <f ca="1"/>
        <v>#NAME?</v>
      </c>
      <c r="I30" t="e">
        <f ca="1"/>
        <v>#NAME?</v>
      </c>
      <c r="J30" t="e">
        <f ca="1"/>
        <v>#NAME?</v>
      </c>
      <c r="K30" t="e">
        <f ca="1"/>
        <v>#NAME?</v>
      </c>
      <c r="L30" t="e">
        <f ca="1"/>
        <v>#NAME?</v>
      </c>
      <c r="M30" t="e">
        <f ca="1"/>
        <v>#NAME?</v>
      </c>
      <c r="N30" t="e">
        <f ca="1"/>
        <v>#NAME?</v>
      </c>
      <c r="O30" t="e">
        <f ca="1"/>
        <v>#NAME?</v>
      </c>
      <c r="P30" t="e">
        <f ca="1"/>
        <v>#NAME?</v>
      </c>
      <c r="Q30" t="e">
        <f ca="1"/>
        <v>#NAME?</v>
      </c>
    </row>
    <row r="31" spans="1:17">
      <c r="A31" t="e">
        <f ca="1"/>
        <v>#NAME?</v>
      </c>
      <c r="B31" t="e">
        <f ca="1"/>
        <v>#NAME?</v>
      </c>
      <c r="C31" t="e">
        <f ca="1"/>
        <v>#NAME?</v>
      </c>
      <c r="D31" t="e">
        <f ca="1"/>
        <v>#NAME?</v>
      </c>
      <c r="E31" t="e">
        <f ca="1"/>
        <v>#NAME?</v>
      </c>
      <c r="F31" t="e">
        <f ca="1"/>
        <v>#NAME?</v>
      </c>
      <c r="G31" t="e">
        <f ca="1"/>
        <v>#NAME?</v>
      </c>
      <c r="H31" t="e">
        <f ca="1"/>
        <v>#NAME?</v>
      </c>
      <c r="I31" t="e">
        <f ca="1"/>
        <v>#NAME?</v>
      </c>
      <c r="J31" t="e">
        <f ca="1"/>
        <v>#NAME?</v>
      </c>
      <c r="K31" t="e">
        <f ca="1"/>
        <v>#NAME?</v>
      </c>
      <c r="L31" t="e">
        <f ca="1"/>
        <v>#NAME?</v>
      </c>
      <c r="M31" t="e">
        <f ca="1"/>
        <v>#NAME?</v>
      </c>
      <c r="N31" t="e">
        <f ca="1"/>
        <v>#NAME?</v>
      </c>
      <c r="O31" t="e">
        <f ca="1"/>
        <v>#NAME?</v>
      </c>
      <c r="P31" t="e">
        <f ca="1"/>
        <v>#NAME?</v>
      </c>
      <c r="Q31" t="e">
        <f ca="1"/>
        <v>#NAME?</v>
      </c>
    </row>
    <row r="32" spans="1:17">
      <c r="A32" t="e">
        <f ca="1"/>
        <v>#NAME?</v>
      </c>
      <c r="B32" t="e">
        <f ca="1"/>
        <v>#NAME?</v>
      </c>
      <c r="C32" t="e">
        <f ca="1"/>
        <v>#NAME?</v>
      </c>
      <c r="D32" t="e">
        <f ca="1"/>
        <v>#NAME?</v>
      </c>
      <c r="E32" t="e">
        <f ca="1"/>
        <v>#NAME?</v>
      </c>
      <c r="F32" t="e">
        <f ca="1"/>
        <v>#NAME?</v>
      </c>
      <c r="G32" t="e">
        <f ca="1"/>
        <v>#NAME?</v>
      </c>
      <c r="H32" t="e">
        <f ca="1"/>
        <v>#NAME?</v>
      </c>
      <c r="I32" t="e">
        <f ca="1"/>
        <v>#NAME?</v>
      </c>
      <c r="J32" t="e">
        <f ca="1"/>
        <v>#NAME?</v>
      </c>
      <c r="K32" t="e">
        <f ca="1"/>
        <v>#NAME?</v>
      </c>
      <c r="L32" t="e">
        <f ca="1"/>
        <v>#NAME?</v>
      </c>
      <c r="M32" t="e">
        <f ca="1"/>
        <v>#NAME?</v>
      </c>
      <c r="N32" t="e">
        <f ca="1"/>
        <v>#NAME?</v>
      </c>
      <c r="O32" t="e">
        <f ca="1"/>
        <v>#NAME?</v>
      </c>
      <c r="P32" t="e">
        <f ca="1"/>
        <v>#NAME?</v>
      </c>
      <c r="Q32" t="e">
        <f ca="1"/>
        <v>#NAME?</v>
      </c>
    </row>
    <row r="33" spans="1:17">
      <c r="A33" t="e">
        <f ca="1"/>
        <v>#NAME?</v>
      </c>
      <c r="B33" t="e">
        <f ca="1"/>
        <v>#NAME?</v>
      </c>
      <c r="C33" t="e">
        <f ca="1"/>
        <v>#NAME?</v>
      </c>
      <c r="D33" t="e">
        <f ca="1"/>
        <v>#NAME?</v>
      </c>
      <c r="E33" t="e">
        <f ca="1"/>
        <v>#NAME?</v>
      </c>
      <c r="F33" t="e">
        <f ca="1"/>
        <v>#NAME?</v>
      </c>
      <c r="G33" t="e">
        <f ca="1"/>
        <v>#NAME?</v>
      </c>
      <c r="H33" t="e">
        <f ca="1"/>
        <v>#NAME?</v>
      </c>
      <c r="I33" t="e">
        <f ca="1"/>
        <v>#NAME?</v>
      </c>
      <c r="J33" t="e">
        <f ca="1"/>
        <v>#NAME?</v>
      </c>
      <c r="K33" t="e">
        <f ca="1"/>
        <v>#NAME?</v>
      </c>
      <c r="L33" t="e">
        <f ca="1"/>
        <v>#NAME?</v>
      </c>
      <c r="M33" t="e">
        <f ca="1"/>
        <v>#NAME?</v>
      </c>
      <c r="N33" t="e">
        <f ca="1"/>
        <v>#NAME?</v>
      </c>
      <c r="O33" t="e">
        <f ca="1"/>
        <v>#NAME?</v>
      </c>
      <c r="P33" t="e">
        <f ca="1"/>
        <v>#NAME?</v>
      </c>
      <c r="Q33" t="e">
        <f ca="1"/>
        <v>#NAME?</v>
      </c>
    </row>
    <row r="34" spans="1:17">
      <c r="A34" t="e">
        <f ca="1"/>
        <v>#NAME?</v>
      </c>
      <c r="B34" t="e">
        <f ca="1"/>
        <v>#NAME?</v>
      </c>
      <c r="C34" t="e">
        <f ca="1"/>
        <v>#NAME?</v>
      </c>
      <c r="D34" t="e">
        <f ca="1"/>
        <v>#NAME?</v>
      </c>
      <c r="E34" t="e">
        <f ca="1"/>
        <v>#NAME?</v>
      </c>
      <c r="F34" t="e">
        <f ca="1"/>
        <v>#NAME?</v>
      </c>
      <c r="G34" t="e">
        <f ca="1"/>
        <v>#NAME?</v>
      </c>
      <c r="H34" t="e">
        <f ca="1"/>
        <v>#NAME?</v>
      </c>
      <c r="I34" t="e">
        <f ca="1"/>
        <v>#NAME?</v>
      </c>
      <c r="J34" t="e">
        <f ca="1"/>
        <v>#NAME?</v>
      </c>
      <c r="K34" t="e">
        <f ca="1"/>
        <v>#NAME?</v>
      </c>
      <c r="L34" t="e">
        <f ca="1"/>
        <v>#NAME?</v>
      </c>
      <c r="M34" t="e">
        <f ca="1"/>
        <v>#NAME?</v>
      </c>
      <c r="N34" t="e">
        <f ca="1"/>
        <v>#NAME?</v>
      </c>
      <c r="O34" t="e">
        <f ca="1"/>
        <v>#NAME?</v>
      </c>
      <c r="P34" t="e">
        <f ca="1"/>
        <v>#NAME?</v>
      </c>
      <c r="Q34" t="e">
        <f ca="1"/>
        <v>#NAME?</v>
      </c>
    </row>
    <row r="35" spans="1:17">
      <c r="A35" t="e">
        <f ca="1"/>
        <v>#NAME?</v>
      </c>
      <c r="B35" t="e">
        <f ca="1"/>
        <v>#NAME?</v>
      </c>
      <c r="C35" t="e">
        <f ca="1"/>
        <v>#NAME?</v>
      </c>
      <c r="D35" t="e">
        <f ca="1"/>
        <v>#NAME?</v>
      </c>
      <c r="E35" t="e">
        <f ca="1"/>
        <v>#NAME?</v>
      </c>
      <c r="F35" t="e">
        <f ca="1"/>
        <v>#NAME?</v>
      </c>
      <c r="G35" t="e">
        <f ca="1"/>
        <v>#NAME?</v>
      </c>
      <c r="H35" t="e">
        <f ca="1"/>
        <v>#NAME?</v>
      </c>
      <c r="I35" t="e">
        <f ca="1"/>
        <v>#NAME?</v>
      </c>
      <c r="J35" t="e">
        <f ca="1"/>
        <v>#NAME?</v>
      </c>
      <c r="K35" t="e">
        <f ca="1"/>
        <v>#NAME?</v>
      </c>
      <c r="L35" t="e">
        <f ca="1"/>
        <v>#NAME?</v>
      </c>
      <c r="M35" t="e">
        <f ca="1"/>
        <v>#NAME?</v>
      </c>
      <c r="N35" t="e">
        <f ca="1"/>
        <v>#NAME?</v>
      </c>
      <c r="O35" t="e">
        <f ca="1"/>
        <v>#NAME?</v>
      </c>
      <c r="P35" t="e">
        <f ca="1"/>
        <v>#NAME?</v>
      </c>
      <c r="Q35" t="e">
        <f ca="1"/>
        <v>#NAME?</v>
      </c>
    </row>
    <row r="36" spans="1:17">
      <c r="A36" t="e">
        <f ca="1"/>
        <v>#NAME?</v>
      </c>
      <c r="B36" t="e">
        <f ca="1"/>
        <v>#NAME?</v>
      </c>
      <c r="C36" t="e">
        <f ca="1"/>
        <v>#NAME?</v>
      </c>
      <c r="D36" t="e">
        <f ca="1"/>
        <v>#NAME?</v>
      </c>
      <c r="E36" t="e">
        <f ca="1"/>
        <v>#NAME?</v>
      </c>
      <c r="F36" t="e">
        <f ca="1"/>
        <v>#NAME?</v>
      </c>
      <c r="G36" t="e">
        <f ca="1"/>
        <v>#NAME?</v>
      </c>
      <c r="H36" t="e">
        <f ca="1"/>
        <v>#NAME?</v>
      </c>
      <c r="I36" t="e">
        <f ca="1"/>
        <v>#NAME?</v>
      </c>
      <c r="J36" t="e">
        <f ca="1"/>
        <v>#NAME?</v>
      </c>
      <c r="K36" t="e">
        <f ca="1"/>
        <v>#NAME?</v>
      </c>
      <c r="L36" t="e">
        <f ca="1"/>
        <v>#NAME?</v>
      </c>
      <c r="M36" t="e">
        <f ca="1"/>
        <v>#NAME?</v>
      </c>
      <c r="N36" t="e">
        <f ca="1"/>
        <v>#NAME?</v>
      </c>
      <c r="O36" t="e">
        <f ca="1"/>
        <v>#NAME?</v>
      </c>
      <c r="P36" t="e">
        <f ca="1"/>
        <v>#NAME?</v>
      </c>
      <c r="Q36" t="e">
        <f ca="1"/>
        <v>#NAME?</v>
      </c>
    </row>
    <row r="37" spans="1:17">
      <c r="A37" t="e">
        <f ca="1"/>
        <v>#NAME?</v>
      </c>
      <c r="B37" t="e">
        <f ca="1"/>
        <v>#NAME?</v>
      </c>
      <c r="C37" t="e">
        <f ca="1"/>
        <v>#NAME?</v>
      </c>
      <c r="D37" t="e">
        <f ca="1"/>
        <v>#NAME?</v>
      </c>
      <c r="E37" t="e">
        <f ca="1"/>
        <v>#NAME?</v>
      </c>
      <c r="F37" t="e">
        <f ca="1"/>
        <v>#NAME?</v>
      </c>
      <c r="G37" t="e">
        <f ca="1"/>
        <v>#NAME?</v>
      </c>
      <c r="H37" t="e">
        <f ca="1"/>
        <v>#NAME?</v>
      </c>
      <c r="I37" t="e">
        <f ca="1"/>
        <v>#NAME?</v>
      </c>
      <c r="J37" t="e">
        <f ca="1"/>
        <v>#NAME?</v>
      </c>
      <c r="K37" t="e">
        <f ca="1"/>
        <v>#NAME?</v>
      </c>
      <c r="L37" t="e">
        <f ca="1"/>
        <v>#NAME?</v>
      </c>
      <c r="M37" t="e">
        <f ca="1"/>
        <v>#NAME?</v>
      </c>
      <c r="N37" t="e">
        <f ca="1"/>
        <v>#NAME?</v>
      </c>
      <c r="O37" t="e">
        <f ca="1"/>
        <v>#NAME?</v>
      </c>
      <c r="P37" t="e">
        <f ca="1"/>
        <v>#NAME?</v>
      </c>
      <c r="Q37" t="e">
        <f ca="1"/>
        <v>#NAME?</v>
      </c>
    </row>
    <row r="38" spans="1:17">
      <c r="A38" t="e">
        <f ca="1"/>
        <v>#NAME?</v>
      </c>
      <c r="B38" t="e">
        <f ca="1"/>
        <v>#NAME?</v>
      </c>
      <c r="C38" t="e">
        <f ca="1"/>
        <v>#NAME?</v>
      </c>
      <c r="D38" t="e">
        <f ca="1"/>
        <v>#NAME?</v>
      </c>
      <c r="E38" t="e">
        <f ca="1"/>
        <v>#NAME?</v>
      </c>
      <c r="F38" t="e">
        <f ca="1"/>
        <v>#NAME?</v>
      </c>
      <c r="G38" t="e">
        <f ca="1"/>
        <v>#NAME?</v>
      </c>
      <c r="H38" t="e">
        <f ca="1"/>
        <v>#NAME?</v>
      </c>
      <c r="I38" t="e">
        <f ca="1"/>
        <v>#NAME?</v>
      </c>
      <c r="J38" t="e">
        <f ca="1"/>
        <v>#NAME?</v>
      </c>
      <c r="K38" t="e">
        <f ca="1"/>
        <v>#NAME?</v>
      </c>
      <c r="L38" t="e">
        <f ca="1"/>
        <v>#NAME?</v>
      </c>
      <c r="M38" t="e">
        <f ca="1"/>
        <v>#NAME?</v>
      </c>
      <c r="N38" t="e">
        <f ca="1"/>
        <v>#NAME?</v>
      </c>
      <c r="O38" t="e">
        <f ca="1"/>
        <v>#NAME?</v>
      </c>
      <c r="P38" t="e">
        <f ca="1"/>
        <v>#NAME?</v>
      </c>
      <c r="Q38" t="e">
        <f ca="1"/>
        <v>#NAME?</v>
      </c>
    </row>
    <row r="39" spans="1:17">
      <c r="A39" t="e">
        <f ca="1"/>
        <v>#NAME?</v>
      </c>
      <c r="B39" t="e">
        <f ca="1"/>
        <v>#NAME?</v>
      </c>
      <c r="C39" t="e">
        <f ca="1"/>
        <v>#NAME?</v>
      </c>
      <c r="D39" t="e">
        <f ca="1"/>
        <v>#NAME?</v>
      </c>
      <c r="E39" t="e">
        <f ca="1"/>
        <v>#NAME?</v>
      </c>
      <c r="F39" t="e">
        <f ca="1"/>
        <v>#NAME?</v>
      </c>
      <c r="G39" t="e">
        <f ca="1"/>
        <v>#NAME?</v>
      </c>
      <c r="H39" t="e">
        <f ca="1"/>
        <v>#NAME?</v>
      </c>
      <c r="I39" t="e">
        <f ca="1"/>
        <v>#NAME?</v>
      </c>
      <c r="J39" t="e">
        <f ca="1"/>
        <v>#NAME?</v>
      </c>
      <c r="K39" t="e">
        <f ca="1"/>
        <v>#NAME?</v>
      </c>
      <c r="L39" t="e">
        <f ca="1"/>
        <v>#NAME?</v>
      </c>
      <c r="M39" t="e">
        <f ca="1"/>
        <v>#NAME?</v>
      </c>
      <c r="N39" t="e">
        <f ca="1"/>
        <v>#NAME?</v>
      </c>
      <c r="O39" t="e">
        <f ca="1"/>
        <v>#NAME?</v>
      </c>
      <c r="P39" t="e">
        <f ca="1"/>
        <v>#NAME?</v>
      </c>
      <c r="Q39" t="e">
        <f ca="1"/>
        <v>#NAME?</v>
      </c>
    </row>
    <row r="40" spans="1:17">
      <c r="A40" t="e">
        <f ca="1"/>
        <v>#NAME?</v>
      </c>
      <c r="B40" t="e">
        <f ca="1"/>
        <v>#NAME?</v>
      </c>
      <c r="C40" t="e">
        <f ca="1"/>
        <v>#NAME?</v>
      </c>
      <c r="D40" t="e">
        <f ca="1"/>
        <v>#NAME?</v>
      </c>
      <c r="E40" t="e">
        <f ca="1"/>
        <v>#NAME?</v>
      </c>
      <c r="F40" t="e">
        <f ca="1"/>
        <v>#NAME?</v>
      </c>
      <c r="G40" t="e">
        <f ca="1"/>
        <v>#NAME?</v>
      </c>
      <c r="H40" t="e">
        <f ca="1"/>
        <v>#NAME?</v>
      </c>
      <c r="I40" t="e">
        <f ca="1"/>
        <v>#NAME?</v>
      </c>
      <c r="J40" t="e">
        <f ca="1"/>
        <v>#NAME?</v>
      </c>
      <c r="K40" t="e">
        <f ca="1"/>
        <v>#NAME?</v>
      </c>
      <c r="L40" t="e">
        <f ca="1"/>
        <v>#NAME?</v>
      </c>
      <c r="M40" t="e">
        <f ca="1"/>
        <v>#NAME?</v>
      </c>
      <c r="N40" t="e">
        <f ca="1"/>
        <v>#NAME?</v>
      </c>
      <c r="O40" t="e">
        <f ca="1"/>
        <v>#NAME?</v>
      </c>
      <c r="P40" t="e">
        <f ca="1"/>
        <v>#NAME?</v>
      </c>
      <c r="Q40" t="e">
        <f ca="1"/>
        <v>#NAME?</v>
      </c>
    </row>
    <row r="41" spans="1:17">
      <c r="A41" t="e">
        <f ca="1"/>
        <v>#NAME?</v>
      </c>
      <c r="B41" t="e">
        <f ca="1"/>
        <v>#NAME?</v>
      </c>
      <c r="C41" t="e">
        <f ca="1"/>
        <v>#NAME?</v>
      </c>
      <c r="D41" t="e">
        <f ca="1"/>
        <v>#NAME?</v>
      </c>
      <c r="E41" t="e">
        <f ca="1"/>
        <v>#NAME?</v>
      </c>
      <c r="F41" t="e">
        <f ca="1"/>
        <v>#NAME?</v>
      </c>
      <c r="G41" t="e">
        <f ca="1"/>
        <v>#NAME?</v>
      </c>
      <c r="H41" t="e">
        <f ca="1"/>
        <v>#NAME?</v>
      </c>
      <c r="I41" t="e">
        <f ca="1"/>
        <v>#NAME?</v>
      </c>
      <c r="J41" t="e">
        <f ca="1"/>
        <v>#NAME?</v>
      </c>
      <c r="K41" t="e">
        <f ca="1"/>
        <v>#NAME?</v>
      </c>
      <c r="L41" t="e">
        <f ca="1"/>
        <v>#NAME?</v>
      </c>
      <c r="M41" t="e">
        <f ca="1"/>
        <v>#NAME?</v>
      </c>
      <c r="N41" t="e">
        <f ca="1"/>
        <v>#NAME?</v>
      </c>
      <c r="O41" t="e">
        <f ca="1"/>
        <v>#NAME?</v>
      </c>
      <c r="P41" t="e">
        <f ca="1"/>
        <v>#NAME?</v>
      </c>
      <c r="Q41" t="e">
        <f ca="1"/>
        <v>#NAME?</v>
      </c>
    </row>
    <row r="42" spans="1:17">
      <c r="A42" t="e">
        <f ca="1"/>
        <v>#NAME?</v>
      </c>
      <c r="B42" t="e">
        <f ca="1"/>
        <v>#NAME?</v>
      </c>
      <c r="C42" t="e">
        <f ca="1"/>
        <v>#NAME?</v>
      </c>
      <c r="D42" t="e">
        <f ca="1"/>
        <v>#NAME?</v>
      </c>
      <c r="E42" t="e">
        <f ca="1"/>
        <v>#NAME?</v>
      </c>
      <c r="F42" t="e">
        <f ca="1"/>
        <v>#NAME?</v>
      </c>
      <c r="G42" t="e">
        <f ca="1"/>
        <v>#NAME?</v>
      </c>
      <c r="H42" t="e">
        <f ca="1"/>
        <v>#NAME?</v>
      </c>
      <c r="I42" t="e">
        <f ca="1"/>
        <v>#NAME?</v>
      </c>
      <c r="J42" t="e">
        <f ca="1"/>
        <v>#NAME?</v>
      </c>
      <c r="K42" t="e">
        <f ca="1"/>
        <v>#NAME?</v>
      </c>
      <c r="L42" t="e">
        <f ca="1"/>
        <v>#NAME?</v>
      </c>
      <c r="M42" t="e">
        <f ca="1"/>
        <v>#NAME?</v>
      </c>
      <c r="N42" t="e">
        <f ca="1"/>
        <v>#NAME?</v>
      </c>
      <c r="O42" t="e">
        <f ca="1"/>
        <v>#NAME?</v>
      </c>
      <c r="P42" t="e">
        <f ca="1"/>
        <v>#NAME?</v>
      </c>
      <c r="Q42" t="e">
        <f ca="1"/>
        <v>#NAME?</v>
      </c>
    </row>
    <row r="43" spans="1:17">
      <c r="A43" t="e">
        <f ca="1"/>
        <v>#NAME?</v>
      </c>
      <c r="B43" t="e">
        <f ca="1"/>
        <v>#NAME?</v>
      </c>
      <c r="C43" t="e">
        <f ca="1"/>
        <v>#NAME?</v>
      </c>
      <c r="D43" t="e">
        <f ca="1"/>
        <v>#NAME?</v>
      </c>
      <c r="E43" t="e">
        <f ca="1"/>
        <v>#NAME?</v>
      </c>
      <c r="F43" t="e">
        <f ca="1"/>
        <v>#NAME?</v>
      </c>
      <c r="G43" t="e">
        <f ca="1"/>
        <v>#NAME?</v>
      </c>
      <c r="H43" t="e">
        <f ca="1"/>
        <v>#NAME?</v>
      </c>
      <c r="I43" t="e">
        <f ca="1"/>
        <v>#NAME?</v>
      </c>
      <c r="J43" t="e">
        <f ca="1"/>
        <v>#NAME?</v>
      </c>
      <c r="K43" t="e">
        <f ca="1"/>
        <v>#NAME?</v>
      </c>
      <c r="L43" t="e">
        <f ca="1"/>
        <v>#NAME?</v>
      </c>
      <c r="M43" t="e">
        <f ca="1"/>
        <v>#NAME?</v>
      </c>
      <c r="N43" t="e">
        <f ca="1"/>
        <v>#NAME?</v>
      </c>
      <c r="O43" t="e">
        <f ca="1"/>
        <v>#NAME?</v>
      </c>
      <c r="P43" t="e">
        <f ca="1"/>
        <v>#NAME?</v>
      </c>
      <c r="Q43" t="e">
        <f ca="1"/>
        <v>#NAME?</v>
      </c>
    </row>
    <row r="44" spans="1:17">
      <c r="A44" t="e">
        <f ca="1"/>
        <v>#NAME?</v>
      </c>
      <c r="B44" t="e">
        <f ca="1"/>
        <v>#NAME?</v>
      </c>
      <c r="C44" t="e">
        <f ca="1"/>
        <v>#NAME?</v>
      </c>
      <c r="D44" t="e">
        <f ca="1"/>
        <v>#NAME?</v>
      </c>
      <c r="E44" t="e">
        <f ca="1"/>
        <v>#NAME?</v>
      </c>
      <c r="F44" t="e">
        <f ca="1"/>
        <v>#NAME?</v>
      </c>
      <c r="G44" t="e">
        <f ca="1"/>
        <v>#NAME?</v>
      </c>
      <c r="H44" t="e">
        <f ca="1"/>
        <v>#NAME?</v>
      </c>
      <c r="I44" t="e">
        <f ca="1"/>
        <v>#NAME?</v>
      </c>
      <c r="J44" t="e">
        <f ca="1"/>
        <v>#NAME?</v>
      </c>
      <c r="K44" t="e">
        <f ca="1"/>
        <v>#NAME?</v>
      </c>
      <c r="L44" t="e">
        <f ca="1"/>
        <v>#NAME?</v>
      </c>
      <c r="M44" t="e">
        <f ca="1"/>
        <v>#NAME?</v>
      </c>
      <c r="N44" t="e">
        <f ca="1"/>
        <v>#NAME?</v>
      </c>
      <c r="O44" t="e">
        <f ca="1"/>
        <v>#NAME?</v>
      </c>
      <c r="P44" t="e">
        <f ca="1"/>
        <v>#NAME?</v>
      </c>
      <c r="Q44" t="e">
        <f ca="1"/>
        <v>#NAME?</v>
      </c>
    </row>
    <row r="45" spans="1:17">
      <c r="A45" t="e">
        <f ca="1"/>
        <v>#NAME?</v>
      </c>
      <c r="B45" t="e">
        <f ca="1"/>
        <v>#NAME?</v>
      </c>
      <c r="C45" t="e">
        <f ca="1"/>
        <v>#NAME?</v>
      </c>
      <c r="D45" t="e">
        <f ca="1"/>
        <v>#NAME?</v>
      </c>
      <c r="E45" t="e">
        <f ca="1"/>
        <v>#NAME?</v>
      </c>
      <c r="F45" t="e">
        <f ca="1"/>
        <v>#NAME?</v>
      </c>
      <c r="G45" t="e">
        <f ca="1"/>
        <v>#NAME?</v>
      </c>
      <c r="H45" t="e">
        <f ca="1"/>
        <v>#NAME?</v>
      </c>
      <c r="I45" t="e">
        <f ca="1"/>
        <v>#NAME?</v>
      </c>
      <c r="J45" t="e">
        <f ca="1"/>
        <v>#NAME?</v>
      </c>
      <c r="K45" t="e">
        <f ca="1"/>
        <v>#NAME?</v>
      </c>
      <c r="L45" t="e">
        <f ca="1"/>
        <v>#NAME?</v>
      </c>
      <c r="M45" t="e">
        <f ca="1"/>
        <v>#NAME?</v>
      </c>
      <c r="N45" t="e">
        <f ca="1"/>
        <v>#NAME?</v>
      </c>
      <c r="O45" t="e">
        <f ca="1"/>
        <v>#NAME?</v>
      </c>
      <c r="P45" t="e">
        <f ca="1"/>
        <v>#NAME?</v>
      </c>
      <c r="Q45" t="e">
        <f ca="1"/>
        <v>#NAME?</v>
      </c>
    </row>
    <row r="46" spans="1:17">
      <c r="A46" t="e">
        <f ca="1"/>
        <v>#NAME?</v>
      </c>
      <c r="B46" t="e">
        <f ca="1"/>
        <v>#NAME?</v>
      </c>
      <c r="C46" t="e">
        <f ca="1"/>
        <v>#NAME?</v>
      </c>
      <c r="D46" t="e">
        <f ca="1"/>
        <v>#NAME?</v>
      </c>
      <c r="E46" t="e">
        <f ca="1"/>
        <v>#NAME?</v>
      </c>
      <c r="F46" t="e">
        <f ca="1"/>
        <v>#NAME?</v>
      </c>
      <c r="G46" t="e">
        <f ca="1"/>
        <v>#NAME?</v>
      </c>
      <c r="H46" t="e">
        <f ca="1"/>
        <v>#NAME?</v>
      </c>
      <c r="I46" t="e">
        <f ca="1"/>
        <v>#NAME?</v>
      </c>
      <c r="J46" t="e">
        <f ca="1"/>
        <v>#NAME?</v>
      </c>
      <c r="K46" t="e">
        <f ca="1"/>
        <v>#NAME?</v>
      </c>
      <c r="L46" t="e">
        <f ca="1"/>
        <v>#NAME?</v>
      </c>
      <c r="M46" t="e">
        <f ca="1"/>
        <v>#NAME?</v>
      </c>
      <c r="N46" t="e">
        <f ca="1"/>
        <v>#NAME?</v>
      </c>
      <c r="O46" t="e">
        <f ca="1"/>
        <v>#NAME?</v>
      </c>
      <c r="P46" t="e">
        <f ca="1"/>
        <v>#NAME?</v>
      </c>
      <c r="Q46" t="e">
        <f ca="1"/>
        <v>#NAME?</v>
      </c>
    </row>
    <row r="47" spans="1:17">
      <c r="A47" t="e">
        <f ca="1"/>
        <v>#NAME?</v>
      </c>
      <c r="B47" t="e">
        <f ca="1"/>
        <v>#NAME?</v>
      </c>
      <c r="C47" t="e">
        <f ca="1"/>
        <v>#NAME?</v>
      </c>
      <c r="D47" t="e">
        <f ca="1"/>
        <v>#NAME?</v>
      </c>
      <c r="E47" t="e">
        <f ca="1"/>
        <v>#NAME?</v>
      </c>
      <c r="F47" t="e">
        <f ca="1"/>
        <v>#NAME?</v>
      </c>
      <c r="G47" t="e">
        <f ca="1"/>
        <v>#NAME?</v>
      </c>
      <c r="H47" t="e">
        <f ca="1"/>
        <v>#NAME?</v>
      </c>
      <c r="I47" t="e">
        <f ca="1"/>
        <v>#NAME?</v>
      </c>
      <c r="J47" t="e">
        <f ca="1"/>
        <v>#NAME?</v>
      </c>
      <c r="K47" t="e">
        <f ca="1"/>
        <v>#NAME?</v>
      </c>
      <c r="L47" t="e">
        <f ca="1"/>
        <v>#NAME?</v>
      </c>
      <c r="M47" t="e">
        <f ca="1"/>
        <v>#NAME?</v>
      </c>
      <c r="N47" t="e">
        <f ca="1"/>
        <v>#NAME?</v>
      </c>
      <c r="O47" t="e">
        <f ca="1"/>
        <v>#NAME?</v>
      </c>
      <c r="P47" t="e">
        <f ca="1"/>
        <v>#NAME?</v>
      </c>
      <c r="Q47" t="e">
        <f ca="1"/>
        <v>#NAME?</v>
      </c>
    </row>
    <row r="48" spans="1:17">
      <c r="A48" t="e">
        <f ca="1"/>
        <v>#NAME?</v>
      </c>
      <c r="B48" t="e">
        <f ca="1"/>
        <v>#NAME?</v>
      </c>
      <c r="C48" t="e">
        <f ca="1"/>
        <v>#NAME?</v>
      </c>
      <c r="D48" t="e">
        <f ca="1"/>
        <v>#NAME?</v>
      </c>
      <c r="E48" t="e">
        <f ca="1"/>
        <v>#NAME?</v>
      </c>
      <c r="F48" t="e">
        <f ca="1"/>
        <v>#NAME?</v>
      </c>
      <c r="G48" t="e">
        <f ca="1"/>
        <v>#NAME?</v>
      </c>
      <c r="H48" t="e">
        <f ca="1"/>
        <v>#NAME?</v>
      </c>
      <c r="I48" t="e">
        <f ca="1"/>
        <v>#NAME?</v>
      </c>
      <c r="J48" t="e">
        <f ca="1"/>
        <v>#NAME?</v>
      </c>
      <c r="K48" t="e">
        <f ca="1"/>
        <v>#NAME?</v>
      </c>
      <c r="L48" t="e">
        <f ca="1"/>
        <v>#NAME?</v>
      </c>
      <c r="M48" t="e">
        <f ca="1"/>
        <v>#NAME?</v>
      </c>
      <c r="N48" t="e">
        <f ca="1"/>
        <v>#NAME?</v>
      </c>
      <c r="O48" t="e">
        <f ca="1"/>
        <v>#NAME?</v>
      </c>
      <c r="P48" t="e">
        <f ca="1"/>
        <v>#NAME?</v>
      </c>
      <c r="Q48" t="e">
        <f ca="1"/>
        <v>#NAME?</v>
      </c>
    </row>
    <row r="49" spans="1:17">
      <c r="A49" t="e">
        <f ca="1"/>
        <v>#NAME?</v>
      </c>
      <c r="B49" t="e">
        <f ca="1"/>
        <v>#NAME?</v>
      </c>
      <c r="C49" t="e">
        <f ca="1"/>
        <v>#NAME?</v>
      </c>
      <c r="D49" t="e">
        <f ca="1"/>
        <v>#NAME?</v>
      </c>
      <c r="E49" t="e">
        <f ca="1"/>
        <v>#NAME?</v>
      </c>
      <c r="F49" t="e">
        <f ca="1"/>
        <v>#NAME?</v>
      </c>
      <c r="G49" t="e">
        <f ca="1"/>
        <v>#NAME?</v>
      </c>
      <c r="H49" t="e">
        <f ca="1"/>
        <v>#NAME?</v>
      </c>
      <c r="I49" t="e">
        <f ca="1"/>
        <v>#NAME?</v>
      </c>
      <c r="J49" t="e">
        <f ca="1"/>
        <v>#NAME?</v>
      </c>
      <c r="K49" t="e">
        <f ca="1"/>
        <v>#NAME?</v>
      </c>
      <c r="L49" t="e">
        <f ca="1"/>
        <v>#NAME?</v>
      </c>
      <c r="M49" t="e">
        <f ca="1"/>
        <v>#NAME?</v>
      </c>
      <c r="N49" t="e">
        <f ca="1"/>
        <v>#NAME?</v>
      </c>
      <c r="O49" t="e">
        <f ca="1"/>
        <v>#NAME?</v>
      </c>
      <c r="P49" t="e">
        <f ca="1"/>
        <v>#NAME?</v>
      </c>
      <c r="Q49" t="e">
        <f ca="1"/>
        <v>#NAME?</v>
      </c>
    </row>
    <row r="50" spans="1:17">
      <c r="A50" t="e">
        <f ca="1"/>
        <v>#NAME?</v>
      </c>
      <c r="B50" t="e">
        <f ca="1"/>
        <v>#NAME?</v>
      </c>
      <c r="C50" t="e">
        <f ca="1"/>
        <v>#NAME?</v>
      </c>
      <c r="D50" t="e">
        <f ca="1"/>
        <v>#NAME?</v>
      </c>
      <c r="E50" t="e">
        <f ca="1"/>
        <v>#NAME?</v>
      </c>
      <c r="F50" t="e">
        <f ca="1"/>
        <v>#NAME?</v>
      </c>
      <c r="G50" t="e">
        <f ca="1"/>
        <v>#NAME?</v>
      </c>
      <c r="H50" t="e">
        <f ca="1"/>
        <v>#NAME?</v>
      </c>
      <c r="I50" t="e">
        <f ca="1"/>
        <v>#NAME?</v>
      </c>
      <c r="J50" t="e">
        <f ca="1"/>
        <v>#NAME?</v>
      </c>
      <c r="K50" t="e">
        <f ca="1"/>
        <v>#NAME?</v>
      </c>
      <c r="L50" t="e">
        <f ca="1"/>
        <v>#NAME?</v>
      </c>
      <c r="M50" t="e">
        <f ca="1"/>
        <v>#NAME?</v>
      </c>
      <c r="N50" t="e">
        <f ca="1"/>
        <v>#NAME?</v>
      </c>
      <c r="O50" t="e">
        <f ca="1"/>
        <v>#NAME?</v>
      </c>
      <c r="P50" t="e">
        <f ca="1"/>
        <v>#NAME?</v>
      </c>
      <c r="Q50" t="e">
        <f ca="1"/>
        <v>#NAME?</v>
      </c>
    </row>
    <row r="51" spans="1:17">
      <c r="A51" t="e">
        <f ca="1"/>
        <v>#NAME?</v>
      </c>
      <c r="B51" t="e">
        <f ca="1"/>
        <v>#NAME?</v>
      </c>
      <c r="C51" t="e">
        <f ca="1"/>
        <v>#NAME?</v>
      </c>
      <c r="D51" t="e">
        <f ca="1"/>
        <v>#NAME?</v>
      </c>
      <c r="E51" t="e">
        <f ca="1"/>
        <v>#NAME?</v>
      </c>
      <c r="F51" t="e">
        <f ca="1"/>
        <v>#NAME?</v>
      </c>
      <c r="G51" t="e">
        <f ca="1"/>
        <v>#NAME?</v>
      </c>
      <c r="H51" t="e">
        <f ca="1"/>
        <v>#NAME?</v>
      </c>
      <c r="I51" t="e">
        <f ca="1"/>
        <v>#NAME?</v>
      </c>
      <c r="J51" t="e">
        <f ca="1"/>
        <v>#NAME?</v>
      </c>
      <c r="K51" t="e">
        <f ca="1"/>
        <v>#NAME?</v>
      </c>
      <c r="L51" t="e">
        <f ca="1"/>
        <v>#NAME?</v>
      </c>
      <c r="M51" t="e">
        <f ca="1"/>
        <v>#NAME?</v>
      </c>
      <c r="N51" t="e">
        <f ca="1"/>
        <v>#NAME?</v>
      </c>
      <c r="O51" t="e">
        <f ca="1"/>
        <v>#NAME?</v>
      </c>
      <c r="P51" t="e">
        <f ca="1"/>
        <v>#NAME?</v>
      </c>
      <c r="Q51" t="e">
        <f ca="1"/>
        <v>#NAME?</v>
      </c>
    </row>
    <row r="52" spans="1:17">
      <c r="A52" t="e">
        <f ca="1"/>
        <v>#NAME?</v>
      </c>
      <c r="B52" t="e">
        <f ca="1"/>
        <v>#NAME?</v>
      </c>
      <c r="C52" t="e">
        <f ca="1"/>
        <v>#NAME?</v>
      </c>
      <c r="D52" t="e">
        <f ca="1"/>
        <v>#NAME?</v>
      </c>
      <c r="E52" t="e">
        <f ca="1"/>
        <v>#NAME?</v>
      </c>
      <c r="F52" t="e">
        <f ca="1"/>
        <v>#NAME?</v>
      </c>
      <c r="G52" t="e">
        <f ca="1"/>
        <v>#NAME?</v>
      </c>
      <c r="H52" t="e">
        <f ca="1"/>
        <v>#NAME?</v>
      </c>
      <c r="I52" t="e">
        <f ca="1"/>
        <v>#NAME?</v>
      </c>
      <c r="J52" t="e">
        <f ca="1"/>
        <v>#NAME?</v>
      </c>
      <c r="K52" t="e">
        <f ca="1"/>
        <v>#NAME?</v>
      </c>
      <c r="L52" t="e">
        <f ca="1"/>
        <v>#NAME?</v>
      </c>
      <c r="M52" t="e">
        <f ca="1"/>
        <v>#NAME?</v>
      </c>
      <c r="N52" t="e">
        <f ca="1"/>
        <v>#NAME?</v>
      </c>
      <c r="O52" t="e">
        <f ca="1"/>
        <v>#NAME?</v>
      </c>
      <c r="P52" t="e">
        <f ca="1"/>
        <v>#NAME?</v>
      </c>
      <c r="Q52" t="e">
        <f ca="1"/>
        <v>#NAME?</v>
      </c>
    </row>
    <row r="53" spans="1:17">
      <c r="A53" t="e">
        <f ca="1"/>
        <v>#NAME?</v>
      </c>
      <c r="B53" t="e">
        <f ca="1"/>
        <v>#NAME?</v>
      </c>
      <c r="C53" t="e">
        <f ca="1"/>
        <v>#NAME?</v>
      </c>
      <c r="D53" t="e">
        <f ca="1"/>
        <v>#NAME?</v>
      </c>
      <c r="E53" t="e">
        <f ca="1"/>
        <v>#NAME?</v>
      </c>
      <c r="F53" t="e">
        <f ca="1"/>
        <v>#NAME?</v>
      </c>
      <c r="G53" t="e">
        <f ca="1"/>
        <v>#NAME?</v>
      </c>
      <c r="H53" t="e">
        <f ca="1"/>
        <v>#NAME?</v>
      </c>
      <c r="I53" t="e">
        <f ca="1"/>
        <v>#NAME?</v>
      </c>
      <c r="J53" t="e">
        <f ca="1"/>
        <v>#NAME?</v>
      </c>
      <c r="K53" t="e">
        <f ca="1"/>
        <v>#NAME?</v>
      </c>
      <c r="L53" t="e">
        <f ca="1"/>
        <v>#NAME?</v>
      </c>
      <c r="M53" t="e">
        <f ca="1"/>
        <v>#NAME?</v>
      </c>
      <c r="N53" t="e">
        <f ca="1"/>
        <v>#NAME?</v>
      </c>
      <c r="O53" t="e">
        <f ca="1"/>
        <v>#NAME?</v>
      </c>
      <c r="P53" t="e">
        <f ca="1"/>
        <v>#NAME?</v>
      </c>
      <c r="Q53" t="e">
        <f ca="1"/>
        <v>#NAME?</v>
      </c>
    </row>
    <row r="54" spans="1:17">
      <c r="A54" t="e">
        <f ca="1"/>
        <v>#NAME?</v>
      </c>
      <c r="B54" t="e">
        <f ca="1"/>
        <v>#NAME?</v>
      </c>
      <c r="C54" t="e">
        <f ca="1"/>
        <v>#NAME?</v>
      </c>
      <c r="D54" t="e">
        <f ca="1"/>
        <v>#NAME?</v>
      </c>
      <c r="E54" t="e">
        <f ca="1"/>
        <v>#NAME?</v>
      </c>
      <c r="F54" t="e">
        <f ca="1"/>
        <v>#NAME?</v>
      </c>
      <c r="G54" t="e">
        <f ca="1"/>
        <v>#NAME?</v>
      </c>
      <c r="H54" t="e">
        <f ca="1"/>
        <v>#NAME?</v>
      </c>
      <c r="I54" t="e">
        <f ca="1"/>
        <v>#NAME?</v>
      </c>
      <c r="J54" t="e">
        <f ca="1"/>
        <v>#NAME?</v>
      </c>
      <c r="K54" t="e">
        <f ca="1"/>
        <v>#NAME?</v>
      </c>
      <c r="L54" t="e">
        <f ca="1"/>
        <v>#NAME?</v>
      </c>
      <c r="M54" t="e">
        <f ca="1"/>
        <v>#NAME?</v>
      </c>
      <c r="N54" t="e">
        <f ca="1"/>
        <v>#NAME?</v>
      </c>
      <c r="O54" t="e">
        <f ca="1"/>
        <v>#NAME?</v>
      </c>
      <c r="P54" t="e">
        <f ca="1"/>
        <v>#NAME?</v>
      </c>
      <c r="Q54" t="e">
        <f ca="1"/>
        <v>#NAME?</v>
      </c>
    </row>
    <row r="55" spans="1:17">
      <c r="A55" t="e">
        <f ca="1"/>
        <v>#NAME?</v>
      </c>
      <c r="B55" t="e">
        <f ca="1"/>
        <v>#NAME?</v>
      </c>
      <c r="C55" t="e">
        <f ca="1"/>
        <v>#NAME?</v>
      </c>
      <c r="D55" t="e">
        <f ca="1"/>
        <v>#NAME?</v>
      </c>
      <c r="E55" t="e">
        <f ca="1"/>
        <v>#NAME?</v>
      </c>
      <c r="F55" t="e">
        <f ca="1"/>
        <v>#NAME?</v>
      </c>
      <c r="G55" t="e">
        <f ca="1"/>
        <v>#NAME?</v>
      </c>
      <c r="H55" t="e">
        <f ca="1"/>
        <v>#NAME?</v>
      </c>
      <c r="I55" t="e">
        <f ca="1"/>
        <v>#NAME?</v>
      </c>
      <c r="J55" t="e">
        <f ca="1"/>
        <v>#NAME?</v>
      </c>
      <c r="K55" t="e">
        <f ca="1"/>
        <v>#NAME?</v>
      </c>
      <c r="L55" t="e">
        <f ca="1"/>
        <v>#NAME?</v>
      </c>
      <c r="M55" t="e">
        <f ca="1"/>
        <v>#NAME?</v>
      </c>
      <c r="N55" t="e">
        <f ca="1"/>
        <v>#NAME?</v>
      </c>
      <c r="O55" t="e">
        <f ca="1"/>
        <v>#NAME?</v>
      </c>
      <c r="P55" t="e">
        <f ca="1"/>
        <v>#NAME?</v>
      </c>
      <c r="Q55" t="e">
        <f ca="1"/>
        <v>#NAME?</v>
      </c>
    </row>
    <row r="56" spans="1:17">
      <c r="A56" t="e">
        <f ca="1"/>
        <v>#NAME?</v>
      </c>
      <c r="B56" t="e">
        <f ca="1"/>
        <v>#NAME?</v>
      </c>
      <c r="C56" t="e">
        <f ca="1"/>
        <v>#NAME?</v>
      </c>
      <c r="D56" t="e">
        <f ca="1"/>
        <v>#NAME?</v>
      </c>
      <c r="E56" t="e">
        <f ca="1"/>
        <v>#NAME?</v>
      </c>
      <c r="F56" t="e">
        <f ca="1"/>
        <v>#NAME?</v>
      </c>
      <c r="G56" t="e">
        <f ca="1"/>
        <v>#NAME?</v>
      </c>
      <c r="H56" t="e">
        <f ca="1"/>
        <v>#NAME?</v>
      </c>
      <c r="I56" t="e">
        <f ca="1"/>
        <v>#NAME?</v>
      </c>
      <c r="J56" t="e">
        <f ca="1"/>
        <v>#NAME?</v>
      </c>
      <c r="K56" t="e">
        <f ca="1"/>
        <v>#NAME?</v>
      </c>
      <c r="L56" t="e">
        <f ca="1"/>
        <v>#NAME?</v>
      </c>
      <c r="M56" t="e">
        <f ca="1"/>
        <v>#NAME?</v>
      </c>
      <c r="N56" t="e">
        <f ca="1"/>
        <v>#NAME?</v>
      </c>
      <c r="O56" t="e">
        <f ca="1"/>
        <v>#NAME?</v>
      </c>
      <c r="P56" t="e">
        <f ca="1"/>
        <v>#NAME?</v>
      </c>
      <c r="Q56" t="e">
        <f ca="1"/>
        <v>#NAME?</v>
      </c>
    </row>
    <row r="57" spans="1:17">
      <c r="A57" t="e">
        <f ca="1"/>
        <v>#NAME?</v>
      </c>
      <c r="B57" t="e">
        <f ca="1"/>
        <v>#NAME?</v>
      </c>
      <c r="C57" t="e">
        <f ca="1"/>
        <v>#NAME?</v>
      </c>
      <c r="D57" t="e">
        <f ca="1"/>
        <v>#NAME?</v>
      </c>
      <c r="E57" t="e">
        <f ca="1"/>
        <v>#NAME?</v>
      </c>
      <c r="F57" t="e">
        <f ca="1"/>
        <v>#NAME?</v>
      </c>
      <c r="G57" t="e">
        <f ca="1"/>
        <v>#NAME?</v>
      </c>
      <c r="H57" t="e">
        <f ca="1"/>
        <v>#NAME?</v>
      </c>
      <c r="I57" t="e">
        <f ca="1"/>
        <v>#NAME?</v>
      </c>
      <c r="J57" t="e">
        <f ca="1"/>
        <v>#NAME?</v>
      </c>
      <c r="K57" t="e">
        <f ca="1"/>
        <v>#NAME?</v>
      </c>
      <c r="L57" t="e">
        <f ca="1"/>
        <v>#NAME?</v>
      </c>
      <c r="M57" t="e">
        <f ca="1"/>
        <v>#NAME?</v>
      </c>
      <c r="N57" t="e">
        <f ca="1"/>
        <v>#NAME?</v>
      </c>
      <c r="O57" t="e">
        <f ca="1"/>
        <v>#NAME?</v>
      </c>
      <c r="P57" t="e">
        <f ca="1"/>
        <v>#NAME?</v>
      </c>
      <c r="Q57" t="e">
        <f ca="1"/>
        <v>#NAME?</v>
      </c>
    </row>
    <row r="58" spans="1:17">
      <c r="A58" t="e">
        <f ca="1"/>
        <v>#NAME?</v>
      </c>
      <c r="B58" t="e">
        <f ca="1"/>
        <v>#NAME?</v>
      </c>
      <c r="C58" t="e">
        <f ca="1"/>
        <v>#NAME?</v>
      </c>
      <c r="D58" t="e">
        <f ca="1"/>
        <v>#NAME?</v>
      </c>
      <c r="E58" t="e">
        <f ca="1"/>
        <v>#NAME?</v>
      </c>
      <c r="F58" t="e">
        <f ca="1"/>
        <v>#NAME?</v>
      </c>
      <c r="G58" t="e">
        <f ca="1"/>
        <v>#NAME?</v>
      </c>
      <c r="H58" t="e">
        <f ca="1"/>
        <v>#NAME?</v>
      </c>
      <c r="I58" t="e">
        <f ca="1"/>
        <v>#NAME?</v>
      </c>
      <c r="J58" t="e">
        <f ca="1"/>
        <v>#NAME?</v>
      </c>
      <c r="K58" t="e">
        <f ca="1"/>
        <v>#NAME?</v>
      </c>
      <c r="L58" t="e">
        <f ca="1"/>
        <v>#NAME?</v>
      </c>
      <c r="M58" t="e">
        <f ca="1"/>
        <v>#NAME?</v>
      </c>
      <c r="N58" t="e">
        <f ca="1"/>
        <v>#NAME?</v>
      </c>
      <c r="O58" t="e">
        <f ca="1"/>
        <v>#NAME?</v>
      </c>
      <c r="P58" t="e">
        <f ca="1"/>
        <v>#NAME?</v>
      </c>
      <c r="Q58" t="e">
        <f ca="1"/>
        <v>#NAME?</v>
      </c>
    </row>
    <row r="59" spans="1:17">
      <c r="A59" t="e">
        <f ca="1"/>
        <v>#NAME?</v>
      </c>
      <c r="B59" t="e">
        <f ca="1"/>
        <v>#NAME?</v>
      </c>
      <c r="C59" t="e">
        <f ca="1"/>
        <v>#NAME?</v>
      </c>
      <c r="D59" t="e">
        <f ca="1"/>
        <v>#NAME?</v>
      </c>
      <c r="E59" t="e">
        <f ca="1"/>
        <v>#NAME?</v>
      </c>
      <c r="F59" t="e">
        <f ca="1"/>
        <v>#NAME?</v>
      </c>
      <c r="G59" t="e">
        <f ca="1"/>
        <v>#NAME?</v>
      </c>
      <c r="H59" t="e">
        <f ca="1"/>
        <v>#NAME?</v>
      </c>
      <c r="I59" t="e">
        <f ca="1"/>
        <v>#NAME?</v>
      </c>
      <c r="J59" t="e">
        <f ca="1"/>
        <v>#NAME?</v>
      </c>
      <c r="K59" t="e">
        <f ca="1"/>
        <v>#NAME?</v>
      </c>
      <c r="L59" t="e">
        <f ca="1"/>
        <v>#NAME?</v>
      </c>
      <c r="M59" t="e">
        <f ca="1"/>
        <v>#NAME?</v>
      </c>
      <c r="N59" t="e">
        <f ca="1"/>
        <v>#NAME?</v>
      </c>
      <c r="O59" t="e">
        <f ca="1"/>
        <v>#NAME?</v>
      </c>
      <c r="P59" t="e">
        <f ca="1"/>
        <v>#NAME?</v>
      </c>
      <c r="Q59" t="e">
        <f ca="1"/>
        <v>#NAME?</v>
      </c>
    </row>
    <row r="60" spans="1:17">
      <c r="A60" t="e">
        <f ca="1"/>
        <v>#NAME?</v>
      </c>
      <c r="B60" t="e">
        <f ca="1"/>
        <v>#NAME?</v>
      </c>
      <c r="C60" t="e">
        <f ca="1"/>
        <v>#NAME?</v>
      </c>
      <c r="D60" t="e">
        <f ca="1"/>
        <v>#NAME?</v>
      </c>
      <c r="E60" t="e">
        <f ca="1"/>
        <v>#NAME?</v>
      </c>
      <c r="F60" t="e">
        <f ca="1"/>
        <v>#NAME?</v>
      </c>
      <c r="G60" t="e">
        <f ca="1"/>
        <v>#NAME?</v>
      </c>
      <c r="H60" t="e">
        <f ca="1"/>
        <v>#NAME?</v>
      </c>
      <c r="I60" t="e">
        <f ca="1"/>
        <v>#NAME?</v>
      </c>
      <c r="J60" t="e">
        <f ca="1"/>
        <v>#NAME?</v>
      </c>
      <c r="K60" t="e">
        <f ca="1"/>
        <v>#NAME?</v>
      </c>
      <c r="L60" t="e">
        <f ca="1"/>
        <v>#NAME?</v>
      </c>
      <c r="M60" t="e">
        <f ca="1"/>
        <v>#NAME?</v>
      </c>
      <c r="N60" t="e">
        <f ca="1"/>
        <v>#NAME?</v>
      </c>
      <c r="O60" t="e">
        <f ca="1"/>
        <v>#NAME?</v>
      </c>
      <c r="P60" t="e">
        <f ca="1"/>
        <v>#NAME?</v>
      </c>
      <c r="Q60" t="e">
        <f ca="1"/>
        <v>#NAME?</v>
      </c>
    </row>
    <row r="61" spans="1:17">
      <c r="A61" t="e">
        <f ca="1"/>
        <v>#NAME?</v>
      </c>
      <c r="B61" t="e">
        <f ca="1"/>
        <v>#NAME?</v>
      </c>
      <c r="C61" t="e">
        <f ca="1"/>
        <v>#NAME?</v>
      </c>
      <c r="D61" t="e">
        <f ca="1"/>
        <v>#NAME?</v>
      </c>
      <c r="E61" t="e">
        <f ca="1"/>
        <v>#NAME?</v>
      </c>
      <c r="F61" t="e">
        <f ca="1"/>
        <v>#NAME?</v>
      </c>
      <c r="G61" t="e">
        <f ca="1"/>
        <v>#NAME?</v>
      </c>
      <c r="H61" t="e">
        <f ca="1"/>
        <v>#NAME?</v>
      </c>
      <c r="I61" t="e">
        <f ca="1"/>
        <v>#NAME?</v>
      </c>
      <c r="J61" t="e">
        <f ca="1"/>
        <v>#NAME?</v>
      </c>
      <c r="K61" t="e">
        <f ca="1"/>
        <v>#NAME?</v>
      </c>
      <c r="L61" t="e">
        <f ca="1"/>
        <v>#NAME?</v>
      </c>
      <c r="M61" t="e">
        <f ca="1"/>
        <v>#NAME?</v>
      </c>
      <c r="N61" t="e">
        <f ca="1"/>
        <v>#NAME?</v>
      </c>
      <c r="O61" t="e">
        <f ca="1"/>
        <v>#NAME?</v>
      </c>
      <c r="P61" t="e">
        <f ca="1"/>
        <v>#NAME?</v>
      </c>
      <c r="Q61" t="e">
        <f ca="1"/>
        <v>#NAME?</v>
      </c>
    </row>
    <row r="62" spans="1:17">
      <c r="A62" t="e">
        <f ca="1"/>
        <v>#NAME?</v>
      </c>
      <c r="B62" t="e">
        <f ca="1"/>
        <v>#NAME?</v>
      </c>
      <c r="C62" t="e">
        <f ca="1"/>
        <v>#NAME?</v>
      </c>
      <c r="D62" t="e">
        <f ca="1"/>
        <v>#NAME?</v>
      </c>
      <c r="E62" t="e">
        <f ca="1"/>
        <v>#NAME?</v>
      </c>
      <c r="F62" t="e">
        <f ca="1"/>
        <v>#NAME?</v>
      </c>
      <c r="G62" t="e">
        <f ca="1"/>
        <v>#NAME?</v>
      </c>
      <c r="H62" t="e">
        <f ca="1"/>
        <v>#NAME?</v>
      </c>
      <c r="I62" t="e">
        <f ca="1"/>
        <v>#NAME?</v>
      </c>
      <c r="J62" t="e">
        <f ca="1"/>
        <v>#NAME?</v>
      </c>
      <c r="K62" t="e">
        <f ca="1"/>
        <v>#NAME?</v>
      </c>
      <c r="L62" t="e">
        <f ca="1"/>
        <v>#NAME?</v>
      </c>
      <c r="M62" t="e">
        <f ca="1"/>
        <v>#NAME?</v>
      </c>
      <c r="N62" t="e">
        <f ca="1"/>
        <v>#NAME?</v>
      </c>
      <c r="O62" t="e">
        <f ca="1"/>
        <v>#NAME?</v>
      </c>
      <c r="P62" t="e">
        <f ca="1"/>
        <v>#NAME?</v>
      </c>
      <c r="Q62" t="e">
        <f ca="1"/>
        <v>#NAME?</v>
      </c>
    </row>
    <row r="63" spans="1:17">
      <c r="A63" t="e">
        <f ca="1"/>
        <v>#NAME?</v>
      </c>
      <c r="B63" t="e">
        <f ca="1"/>
        <v>#NAME?</v>
      </c>
      <c r="C63" t="e">
        <f ca="1"/>
        <v>#NAME?</v>
      </c>
      <c r="D63" t="e">
        <f ca="1"/>
        <v>#NAME?</v>
      </c>
      <c r="E63" t="e">
        <f ca="1"/>
        <v>#NAME?</v>
      </c>
      <c r="F63" t="e">
        <f ca="1"/>
        <v>#NAME?</v>
      </c>
      <c r="G63" t="e">
        <f ca="1"/>
        <v>#NAME?</v>
      </c>
      <c r="H63" t="e">
        <f ca="1"/>
        <v>#NAME?</v>
      </c>
      <c r="I63" t="e">
        <f ca="1"/>
        <v>#NAME?</v>
      </c>
      <c r="J63" t="e">
        <f ca="1"/>
        <v>#NAME?</v>
      </c>
      <c r="K63" t="e">
        <f ca="1"/>
        <v>#NAME?</v>
      </c>
      <c r="L63" t="e">
        <f ca="1"/>
        <v>#NAME?</v>
      </c>
      <c r="M63" t="e">
        <f ca="1"/>
        <v>#NAME?</v>
      </c>
      <c r="N63" t="e">
        <f ca="1"/>
        <v>#NAME?</v>
      </c>
      <c r="O63" t="e">
        <f ca="1"/>
        <v>#NAME?</v>
      </c>
      <c r="P63" t="e">
        <f ca="1"/>
        <v>#NAME?</v>
      </c>
      <c r="Q63" t="e">
        <f ca="1"/>
        <v>#NAME?</v>
      </c>
    </row>
    <row r="64" spans="1:17">
      <c r="A64" t="e">
        <f ca="1"/>
        <v>#NAME?</v>
      </c>
      <c r="B64" t="e">
        <f ca="1"/>
        <v>#NAME?</v>
      </c>
      <c r="C64" t="e">
        <f ca="1"/>
        <v>#NAME?</v>
      </c>
      <c r="D64" t="e">
        <f ca="1"/>
        <v>#NAME?</v>
      </c>
      <c r="E64" t="e">
        <f ca="1"/>
        <v>#NAME?</v>
      </c>
      <c r="F64" t="e">
        <f ca="1"/>
        <v>#NAME?</v>
      </c>
      <c r="G64" t="e">
        <f ca="1"/>
        <v>#NAME?</v>
      </c>
      <c r="H64" t="e">
        <f ca="1"/>
        <v>#NAME?</v>
      </c>
      <c r="I64" t="e">
        <f ca="1"/>
        <v>#NAME?</v>
      </c>
      <c r="J64" t="e">
        <f ca="1"/>
        <v>#NAME?</v>
      </c>
      <c r="K64" t="e">
        <f ca="1"/>
        <v>#NAME?</v>
      </c>
      <c r="L64" t="e">
        <f ca="1"/>
        <v>#NAME?</v>
      </c>
      <c r="M64" t="e">
        <f ca="1"/>
        <v>#NAME?</v>
      </c>
      <c r="N64" t="e">
        <f ca="1"/>
        <v>#NAME?</v>
      </c>
      <c r="O64" t="e">
        <f ca="1"/>
        <v>#NAME?</v>
      </c>
      <c r="P64" t="e">
        <f ca="1"/>
        <v>#NAME?</v>
      </c>
      <c r="Q64" t="e">
        <f ca="1"/>
        <v>#NAME?</v>
      </c>
    </row>
    <row r="65" spans="1:17">
      <c r="A65" t="e">
        <f ca="1"/>
        <v>#NAME?</v>
      </c>
      <c r="B65" t="e">
        <f ca="1"/>
        <v>#NAME?</v>
      </c>
      <c r="C65" t="e">
        <f ca="1"/>
        <v>#NAME?</v>
      </c>
      <c r="D65" t="e">
        <f ca="1"/>
        <v>#NAME?</v>
      </c>
      <c r="E65" t="e">
        <f ca="1"/>
        <v>#NAME?</v>
      </c>
      <c r="F65" t="e">
        <f ca="1"/>
        <v>#NAME?</v>
      </c>
      <c r="G65" t="e">
        <f ca="1"/>
        <v>#NAME?</v>
      </c>
      <c r="H65" t="e">
        <f ca="1"/>
        <v>#NAME?</v>
      </c>
      <c r="I65" t="e">
        <f ca="1"/>
        <v>#NAME?</v>
      </c>
      <c r="J65" t="e">
        <f ca="1"/>
        <v>#NAME?</v>
      </c>
      <c r="K65" t="e">
        <f ca="1"/>
        <v>#NAME?</v>
      </c>
      <c r="L65" t="e">
        <f ca="1"/>
        <v>#NAME?</v>
      </c>
      <c r="M65" t="e">
        <f ca="1"/>
        <v>#NAME?</v>
      </c>
      <c r="N65" t="e">
        <f ca="1"/>
        <v>#NAME?</v>
      </c>
      <c r="O65" t="e">
        <f ca="1"/>
        <v>#NAME?</v>
      </c>
      <c r="P65" t="e">
        <f ca="1"/>
        <v>#NAME?</v>
      </c>
      <c r="Q65" t="e">
        <f ca="1"/>
        <v>#NAME?</v>
      </c>
    </row>
    <row r="66" spans="1:17">
      <c r="A66" t="e">
        <f ca="1"/>
        <v>#NAME?</v>
      </c>
      <c r="B66" t="e">
        <f ca="1"/>
        <v>#NAME?</v>
      </c>
      <c r="C66" t="e">
        <f ca="1"/>
        <v>#NAME?</v>
      </c>
      <c r="D66" t="e">
        <f ca="1"/>
        <v>#NAME?</v>
      </c>
      <c r="E66" t="e">
        <f ca="1"/>
        <v>#NAME?</v>
      </c>
      <c r="F66" t="e">
        <f ca="1"/>
        <v>#NAME?</v>
      </c>
      <c r="G66" t="e">
        <f ca="1"/>
        <v>#NAME?</v>
      </c>
      <c r="H66" t="e">
        <f ca="1"/>
        <v>#NAME?</v>
      </c>
      <c r="I66" t="e">
        <f ca="1"/>
        <v>#NAME?</v>
      </c>
      <c r="J66" t="e">
        <f ca="1"/>
        <v>#NAME?</v>
      </c>
      <c r="K66" t="e">
        <f ca="1"/>
        <v>#NAME?</v>
      </c>
      <c r="L66" t="e">
        <f ca="1"/>
        <v>#NAME?</v>
      </c>
      <c r="M66" t="e">
        <f ca="1"/>
        <v>#NAME?</v>
      </c>
      <c r="N66" t="e">
        <f ca="1"/>
        <v>#NAME?</v>
      </c>
      <c r="O66" t="e">
        <f ca="1"/>
        <v>#NAME?</v>
      </c>
      <c r="P66" t="e">
        <f ca="1"/>
        <v>#NAME?</v>
      </c>
      <c r="Q66" t="e">
        <f ca="1"/>
        <v>#NAME?</v>
      </c>
    </row>
    <row r="67" spans="1:17">
      <c r="A67" t="e">
        <f ca="1"/>
        <v>#NAME?</v>
      </c>
      <c r="B67" t="e">
        <f ca="1"/>
        <v>#NAME?</v>
      </c>
      <c r="C67" t="e">
        <f ca="1"/>
        <v>#NAME?</v>
      </c>
      <c r="D67" t="e">
        <f ca="1"/>
        <v>#NAME?</v>
      </c>
      <c r="E67" t="e">
        <f ca="1"/>
        <v>#NAME?</v>
      </c>
      <c r="F67" t="e">
        <f ca="1"/>
        <v>#NAME?</v>
      </c>
      <c r="G67" t="e">
        <f ca="1"/>
        <v>#NAME?</v>
      </c>
      <c r="H67" t="e">
        <f ca="1"/>
        <v>#NAME?</v>
      </c>
      <c r="I67" t="e">
        <f ca="1"/>
        <v>#NAME?</v>
      </c>
      <c r="J67" t="e">
        <f ca="1"/>
        <v>#NAME?</v>
      </c>
      <c r="K67" t="e">
        <f ca="1"/>
        <v>#NAME?</v>
      </c>
      <c r="L67" t="e">
        <f ca="1"/>
        <v>#NAME?</v>
      </c>
      <c r="M67" t="e">
        <f ca="1"/>
        <v>#NAME?</v>
      </c>
      <c r="N67" t="e">
        <f ca="1"/>
        <v>#NAME?</v>
      </c>
      <c r="O67" t="e">
        <f ca="1"/>
        <v>#NAME?</v>
      </c>
      <c r="P67" t="e">
        <f ca="1"/>
        <v>#NAME?</v>
      </c>
      <c r="Q67" t="e">
        <f ca="1"/>
        <v>#NAME?</v>
      </c>
    </row>
    <row r="68" spans="1:17">
      <c r="A68" t="e">
        <f ca="1"/>
        <v>#NAME?</v>
      </c>
      <c r="B68" t="e">
        <f ca="1"/>
        <v>#NAME?</v>
      </c>
      <c r="C68" t="e">
        <f ca="1"/>
        <v>#NAME?</v>
      </c>
      <c r="D68" t="e">
        <f ca="1"/>
        <v>#NAME?</v>
      </c>
      <c r="E68" t="e">
        <f ca="1"/>
        <v>#NAME?</v>
      </c>
      <c r="F68" t="e">
        <f ca="1"/>
        <v>#NAME?</v>
      </c>
      <c r="G68" t="e">
        <f ca="1"/>
        <v>#NAME?</v>
      </c>
      <c r="H68" t="e">
        <f ca="1"/>
        <v>#NAME?</v>
      </c>
      <c r="I68" t="e">
        <f ca="1"/>
        <v>#NAME?</v>
      </c>
      <c r="J68" t="e">
        <f ca="1"/>
        <v>#NAME?</v>
      </c>
      <c r="K68" t="e">
        <f ca="1"/>
        <v>#NAME?</v>
      </c>
      <c r="L68" t="e">
        <f ca="1"/>
        <v>#NAME?</v>
      </c>
      <c r="M68" t="e">
        <f ca="1"/>
        <v>#NAME?</v>
      </c>
      <c r="N68" t="e">
        <f ca="1"/>
        <v>#NAME?</v>
      </c>
      <c r="O68" t="e">
        <f ca="1"/>
        <v>#NAME?</v>
      </c>
      <c r="P68" t="e">
        <f ca="1"/>
        <v>#NAME?</v>
      </c>
      <c r="Q68" t="e">
        <f ca="1"/>
        <v>#NAME?</v>
      </c>
    </row>
    <row r="69" spans="1:17">
      <c r="A69" t="e">
        <f ca="1"/>
        <v>#NAME?</v>
      </c>
      <c r="B69" t="e">
        <f ca="1"/>
        <v>#NAME?</v>
      </c>
      <c r="C69" t="e">
        <f ca="1"/>
        <v>#NAME?</v>
      </c>
      <c r="D69" t="e">
        <f ca="1"/>
        <v>#NAME?</v>
      </c>
      <c r="E69" t="e">
        <f ca="1"/>
        <v>#NAME?</v>
      </c>
      <c r="F69" t="e">
        <f ca="1"/>
        <v>#NAME?</v>
      </c>
      <c r="G69" t="e">
        <f ca="1"/>
        <v>#NAME?</v>
      </c>
      <c r="H69" t="e">
        <f ca="1"/>
        <v>#NAME?</v>
      </c>
      <c r="I69" t="e">
        <f ca="1"/>
        <v>#NAME?</v>
      </c>
      <c r="J69" t="e">
        <f ca="1"/>
        <v>#NAME?</v>
      </c>
      <c r="K69" t="e">
        <f ca="1"/>
        <v>#NAME?</v>
      </c>
      <c r="L69" t="e">
        <f ca="1"/>
        <v>#NAME?</v>
      </c>
      <c r="M69" t="e">
        <f ca="1"/>
        <v>#NAME?</v>
      </c>
      <c r="N69" t="e">
        <f ca="1"/>
        <v>#NAME?</v>
      </c>
      <c r="O69" t="e">
        <f ca="1"/>
        <v>#NAME?</v>
      </c>
      <c r="P69" t="e">
        <f ca="1"/>
        <v>#NAME?</v>
      </c>
      <c r="Q69" t="e">
        <f ca="1"/>
        <v>#NAME?</v>
      </c>
    </row>
    <row r="70" spans="1:17">
      <c r="A70" t="e">
        <f ca="1"/>
        <v>#NAME?</v>
      </c>
      <c r="B70" t="e">
        <f ca="1"/>
        <v>#NAME?</v>
      </c>
      <c r="C70" t="e">
        <f ca="1"/>
        <v>#NAME?</v>
      </c>
      <c r="D70" t="e">
        <f ca="1"/>
        <v>#NAME?</v>
      </c>
      <c r="E70" t="e">
        <f ca="1"/>
        <v>#NAME?</v>
      </c>
      <c r="F70" t="e">
        <f ca="1"/>
        <v>#NAME?</v>
      </c>
      <c r="G70" t="e">
        <f ca="1"/>
        <v>#NAME?</v>
      </c>
      <c r="H70" t="e">
        <f ca="1"/>
        <v>#NAME?</v>
      </c>
      <c r="I70" t="e">
        <f ca="1"/>
        <v>#NAME?</v>
      </c>
      <c r="J70" t="e">
        <f ca="1"/>
        <v>#NAME?</v>
      </c>
      <c r="K70" t="e">
        <f ca="1"/>
        <v>#NAME?</v>
      </c>
      <c r="L70" t="e">
        <f ca="1"/>
        <v>#NAME?</v>
      </c>
      <c r="M70" t="e">
        <f ca="1"/>
        <v>#NAME?</v>
      </c>
      <c r="N70" t="e">
        <f ca="1"/>
        <v>#NAME?</v>
      </c>
      <c r="O70" t="e">
        <f ca="1"/>
        <v>#NAME?</v>
      </c>
      <c r="P70" t="e">
        <f ca="1"/>
        <v>#NAME?</v>
      </c>
      <c r="Q70" t="e">
        <f ca="1"/>
        <v>#NAME?</v>
      </c>
    </row>
    <row r="71" spans="1:17">
      <c r="A71" t="e">
        <f ca="1"/>
        <v>#NAME?</v>
      </c>
      <c r="B71" t="e">
        <f ca="1"/>
        <v>#NAME?</v>
      </c>
      <c r="C71" t="e">
        <f ca="1"/>
        <v>#NAME?</v>
      </c>
      <c r="D71" t="e">
        <f ca="1"/>
        <v>#NAME?</v>
      </c>
      <c r="E71" t="e">
        <f ca="1"/>
        <v>#NAME?</v>
      </c>
      <c r="F71" t="e">
        <f ca="1"/>
        <v>#NAME?</v>
      </c>
      <c r="G71" t="e">
        <f ca="1"/>
        <v>#NAME?</v>
      </c>
      <c r="H71" t="e">
        <f ca="1"/>
        <v>#NAME?</v>
      </c>
      <c r="I71" t="e">
        <f ca="1"/>
        <v>#NAME?</v>
      </c>
      <c r="J71" t="e">
        <f ca="1"/>
        <v>#NAME?</v>
      </c>
      <c r="K71" t="e">
        <f ca="1"/>
        <v>#NAME?</v>
      </c>
      <c r="L71" t="e">
        <f ca="1"/>
        <v>#NAME?</v>
      </c>
      <c r="M71" t="e">
        <f ca="1"/>
        <v>#NAME?</v>
      </c>
      <c r="N71" t="e">
        <f ca="1"/>
        <v>#NAME?</v>
      </c>
      <c r="O71" t="e">
        <f ca="1"/>
        <v>#NAME?</v>
      </c>
      <c r="P71" t="e">
        <f ca="1"/>
        <v>#NAME?</v>
      </c>
      <c r="Q71" t="e">
        <f ca="1"/>
        <v>#NAME?</v>
      </c>
    </row>
    <row r="72" spans="1:17">
      <c r="A72" t="e">
        <f ca="1"/>
        <v>#NAME?</v>
      </c>
      <c r="B72" t="e">
        <f ca="1"/>
        <v>#NAME?</v>
      </c>
      <c r="C72" t="e">
        <f ca="1"/>
        <v>#NAME?</v>
      </c>
      <c r="D72" t="e">
        <f ca="1"/>
        <v>#NAME?</v>
      </c>
      <c r="E72" t="e">
        <f ca="1"/>
        <v>#NAME?</v>
      </c>
      <c r="F72" t="e">
        <f ca="1"/>
        <v>#NAME?</v>
      </c>
      <c r="G72" t="e">
        <f ca="1"/>
        <v>#NAME?</v>
      </c>
      <c r="H72" t="e">
        <f ca="1"/>
        <v>#NAME?</v>
      </c>
      <c r="I72" t="e">
        <f ca="1"/>
        <v>#NAME?</v>
      </c>
      <c r="J72" t="e">
        <f ca="1"/>
        <v>#NAME?</v>
      </c>
      <c r="K72" t="e">
        <f ca="1"/>
        <v>#NAME?</v>
      </c>
      <c r="L72" t="e">
        <f ca="1"/>
        <v>#NAME?</v>
      </c>
      <c r="M72" t="e">
        <f ca="1"/>
        <v>#NAME?</v>
      </c>
      <c r="N72" t="e">
        <f ca="1"/>
        <v>#NAME?</v>
      </c>
      <c r="O72" t="e">
        <f ca="1"/>
        <v>#NAME?</v>
      </c>
      <c r="P72" t="e">
        <f ca="1"/>
        <v>#NAME?</v>
      </c>
      <c r="Q72" t="e">
        <f ca="1"/>
        <v>#NAME?</v>
      </c>
    </row>
    <row r="73" spans="1:17">
      <c r="A73" t="e">
        <f ca="1"/>
        <v>#NAME?</v>
      </c>
      <c r="B73" t="e">
        <f ca="1"/>
        <v>#NAME?</v>
      </c>
      <c r="C73" t="e">
        <f ca="1"/>
        <v>#NAME?</v>
      </c>
      <c r="D73" t="e">
        <f ca="1"/>
        <v>#NAME?</v>
      </c>
      <c r="E73" t="e">
        <f ca="1"/>
        <v>#NAME?</v>
      </c>
      <c r="F73" t="e">
        <f ca="1"/>
        <v>#NAME?</v>
      </c>
      <c r="G73" t="e">
        <f ca="1"/>
        <v>#NAME?</v>
      </c>
      <c r="H73" t="e">
        <f ca="1"/>
        <v>#NAME?</v>
      </c>
      <c r="I73" t="e">
        <f ca="1"/>
        <v>#NAME?</v>
      </c>
      <c r="J73" t="e">
        <f ca="1"/>
        <v>#NAME?</v>
      </c>
      <c r="K73" t="e">
        <f ca="1"/>
        <v>#NAME?</v>
      </c>
      <c r="L73" t="e">
        <f ca="1"/>
        <v>#NAME?</v>
      </c>
      <c r="M73" t="e">
        <f ca="1"/>
        <v>#NAME?</v>
      </c>
      <c r="N73" t="e">
        <f ca="1"/>
        <v>#NAME?</v>
      </c>
      <c r="O73" t="e">
        <f ca="1"/>
        <v>#NAME?</v>
      </c>
      <c r="P73" t="e">
        <f ca="1"/>
        <v>#NAME?</v>
      </c>
      <c r="Q73" t="e">
        <f ca="1"/>
        <v>#NAME?</v>
      </c>
    </row>
    <row r="74" spans="1:17">
      <c r="A74" t="e">
        <f ca="1"/>
        <v>#NAME?</v>
      </c>
      <c r="B74" t="e">
        <f ca="1"/>
        <v>#NAME?</v>
      </c>
      <c r="C74" t="e">
        <f ca="1"/>
        <v>#NAME?</v>
      </c>
      <c r="D74" t="e">
        <f ca="1"/>
        <v>#NAME?</v>
      </c>
      <c r="E74" t="e">
        <f ca="1"/>
        <v>#NAME?</v>
      </c>
      <c r="F74" t="e">
        <f ca="1"/>
        <v>#NAME?</v>
      </c>
      <c r="G74" t="e">
        <f ca="1"/>
        <v>#NAME?</v>
      </c>
      <c r="H74" t="e">
        <f ca="1"/>
        <v>#NAME?</v>
      </c>
      <c r="I74" t="e">
        <f ca="1"/>
        <v>#NAME?</v>
      </c>
      <c r="J74" t="e">
        <f ca="1"/>
        <v>#NAME?</v>
      </c>
      <c r="K74" t="e">
        <f ca="1"/>
        <v>#NAME?</v>
      </c>
      <c r="L74" t="e">
        <f ca="1"/>
        <v>#NAME?</v>
      </c>
      <c r="M74" t="e">
        <f ca="1"/>
        <v>#NAME?</v>
      </c>
      <c r="N74" t="e">
        <f ca="1"/>
        <v>#NAME?</v>
      </c>
      <c r="O74" t="e">
        <f ca="1"/>
        <v>#NAME?</v>
      </c>
      <c r="P74" t="e">
        <f ca="1"/>
        <v>#NAME?</v>
      </c>
      <c r="Q74" t="e">
        <f ca="1"/>
        <v>#NAME?</v>
      </c>
    </row>
    <row r="75" spans="1:17">
      <c r="A75" t="e">
        <f ca="1"/>
        <v>#NAME?</v>
      </c>
      <c r="B75" t="e">
        <f ca="1"/>
        <v>#NAME?</v>
      </c>
      <c r="C75" t="e">
        <f ca="1"/>
        <v>#NAME?</v>
      </c>
      <c r="D75" t="e">
        <f ca="1"/>
        <v>#NAME?</v>
      </c>
      <c r="E75" t="e">
        <f ca="1"/>
        <v>#NAME?</v>
      </c>
      <c r="F75" t="e">
        <f ca="1"/>
        <v>#NAME?</v>
      </c>
      <c r="G75" t="e">
        <f ca="1"/>
        <v>#NAME?</v>
      </c>
      <c r="H75" t="e">
        <f ca="1"/>
        <v>#NAME?</v>
      </c>
      <c r="I75" t="e">
        <f ca="1"/>
        <v>#NAME?</v>
      </c>
      <c r="J75" t="e">
        <f ca="1"/>
        <v>#NAME?</v>
      </c>
      <c r="K75" t="e">
        <f ca="1"/>
        <v>#NAME?</v>
      </c>
      <c r="L75" t="e">
        <f ca="1"/>
        <v>#NAME?</v>
      </c>
      <c r="M75" t="e">
        <f ca="1"/>
        <v>#NAME?</v>
      </c>
      <c r="N75" t="e">
        <f ca="1"/>
        <v>#NAME?</v>
      </c>
      <c r="O75" t="e">
        <f ca="1"/>
        <v>#NAME?</v>
      </c>
      <c r="P75" t="e">
        <f ca="1"/>
        <v>#NAME?</v>
      </c>
      <c r="Q75" t="e">
        <f ca="1"/>
        <v>#NAME?</v>
      </c>
    </row>
    <row r="76" spans="1:17">
      <c r="A76" t="e">
        <f ca="1"/>
        <v>#NAME?</v>
      </c>
      <c r="B76" t="e">
        <f ca="1"/>
        <v>#NAME?</v>
      </c>
      <c r="C76" t="e">
        <f ca="1"/>
        <v>#NAME?</v>
      </c>
      <c r="D76" t="e">
        <f ca="1"/>
        <v>#NAME?</v>
      </c>
      <c r="E76" t="e">
        <f ca="1"/>
        <v>#NAME?</v>
      </c>
      <c r="F76" t="e">
        <f ca="1"/>
        <v>#NAME?</v>
      </c>
      <c r="G76" t="e">
        <f ca="1"/>
        <v>#NAME?</v>
      </c>
      <c r="H76" t="e">
        <f ca="1"/>
        <v>#NAME?</v>
      </c>
      <c r="I76" t="e">
        <f ca="1"/>
        <v>#NAME?</v>
      </c>
      <c r="J76" t="e">
        <f ca="1"/>
        <v>#NAME?</v>
      </c>
      <c r="K76" t="e">
        <f ca="1"/>
        <v>#NAME?</v>
      </c>
      <c r="L76" t="e">
        <f ca="1"/>
        <v>#NAME?</v>
      </c>
      <c r="M76" t="e">
        <f ca="1"/>
        <v>#NAME?</v>
      </c>
      <c r="N76" t="e">
        <f ca="1"/>
        <v>#NAME?</v>
      </c>
      <c r="O76" t="e">
        <f ca="1"/>
        <v>#NAME?</v>
      </c>
      <c r="P76" t="e">
        <f ca="1"/>
        <v>#NAME?</v>
      </c>
      <c r="Q76" t="e">
        <f ca="1"/>
        <v>#NAME?</v>
      </c>
    </row>
    <row r="77" spans="1:17">
      <c r="A77" t="e">
        <f ca="1"/>
        <v>#NAME?</v>
      </c>
      <c r="B77" t="e">
        <f ca="1"/>
        <v>#NAME?</v>
      </c>
      <c r="C77" t="e">
        <f ca="1"/>
        <v>#NAME?</v>
      </c>
      <c r="D77" t="e">
        <f ca="1"/>
        <v>#NAME?</v>
      </c>
      <c r="E77" t="e">
        <f ca="1"/>
        <v>#NAME?</v>
      </c>
      <c r="F77" t="e">
        <f ca="1"/>
        <v>#NAME?</v>
      </c>
      <c r="G77" t="e">
        <f ca="1"/>
        <v>#NAME?</v>
      </c>
      <c r="H77" t="e">
        <f ca="1"/>
        <v>#NAME?</v>
      </c>
      <c r="I77" t="e">
        <f ca="1"/>
        <v>#NAME?</v>
      </c>
      <c r="J77" t="e">
        <f ca="1"/>
        <v>#NAME?</v>
      </c>
      <c r="K77" t="e">
        <f ca="1"/>
        <v>#NAME?</v>
      </c>
      <c r="L77" t="e">
        <f ca="1"/>
        <v>#NAME?</v>
      </c>
      <c r="M77" t="e">
        <f ca="1"/>
        <v>#NAME?</v>
      </c>
      <c r="N77" t="e">
        <f ca="1"/>
        <v>#NAME?</v>
      </c>
      <c r="O77" t="e">
        <f ca="1"/>
        <v>#NAME?</v>
      </c>
      <c r="P77" t="e">
        <f ca="1"/>
        <v>#NAME?</v>
      </c>
      <c r="Q77" t="e">
        <f ca="1"/>
        <v>#NAME?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3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:Q3" ca="1">_xlfn._xlws.FILTER(Specifications!B2:R99991, Specifications!A2:A99991 = "Canada", "")</f>
        <v>#NAME?</v>
      </c>
      <c r="B2" t="e">
        <f ca="1"/>
        <v>#NAME?</v>
      </c>
      <c r="C2" t="e">
        <f ca="1"/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  <c r="M2" t="e">
        <f ca="1"/>
        <v>#NAME?</v>
      </c>
      <c r="N2" t="e">
        <f ca="1"/>
        <v>#NAME?</v>
      </c>
      <c r="O2" t="e">
        <f ca="1"/>
        <v>#NAME?</v>
      </c>
      <c r="P2" t="e">
        <f ca="1"/>
        <v>#NAME?</v>
      </c>
      <c r="Q2" t="e">
        <f ca="1"/>
        <v>#NAME?</v>
      </c>
    </row>
    <row r="3" spans="1:17">
      <c r="A3" t="e">
        <f ca="1"/>
        <v>#NAME?</v>
      </c>
      <c r="B3" t="e">
        <f ca="1"/>
        <v>#NAME?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  <c r="M3" t="e">
        <f ca="1"/>
        <v>#NAME?</v>
      </c>
      <c r="N3" t="e">
        <f ca="1"/>
        <v>#NAME?</v>
      </c>
      <c r="O3" t="e">
        <f ca="1"/>
        <v>#NAME?</v>
      </c>
      <c r="P3" t="e">
        <f ca="1"/>
        <v>#NAME?</v>
      </c>
      <c r="Q3" t="e">
        <f ca="1"/>
        <v>#NAME?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19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:Q19" ca="1">_xlfn._xlws.FILTER(Specifications!B2:R99991, Specifications!A2:A99991 = "France", "")</f>
        <v>#NAME?</v>
      </c>
      <c r="B2" t="e">
        <f ca="1"/>
        <v>#NAME?</v>
      </c>
      <c r="C2" t="e">
        <f ca="1"/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  <c r="M2" t="e">
        <f ca="1"/>
        <v>#NAME?</v>
      </c>
      <c r="N2" t="e">
        <f ca="1"/>
        <v>#NAME?</v>
      </c>
      <c r="O2" t="e">
        <f ca="1"/>
        <v>#NAME?</v>
      </c>
      <c r="P2" t="e">
        <f ca="1"/>
        <v>#NAME?</v>
      </c>
      <c r="Q2" t="e">
        <f ca="1"/>
        <v>#NAME?</v>
      </c>
    </row>
    <row r="3" spans="1:17">
      <c r="A3" t="e">
        <f ca="1"/>
        <v>#NAME?</v>
      </c>
      <c r="B3" t="e">
        <f ca="1"/>
        <v>#NAME?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  <c r="M3" t="e">
        <f ca="1"/>
        <v>#NAME?</v>
      </c>
      <c r="N3" t="e">
        <f ca="1"/>
        <v>#NAME?</v>
      </c>
      <c r="O3" t="e">
        <f ca="1"/>
        <v>#NAME?</v>
      </c>
      <c r="P3" t="e">
        <f ca="1"/>
        <v>#NAME?</v>
      </c>
      <c r="Q3" t="e">
        <f ca="1"/>
        <v>#NAME?</v>
      </c>
    </row>
    <row r="4" spans="1:17">
      <c r="A4" t="e">
        <f ca="1"/>
        <v>#NAME?</v>
      </c>
      <c r="B4" t="e">
        <f ca="1"/>
        <v>#NAME?</v>
      </c>
      <c r="C4" t="e">
        <f ca="1"/>
        <v>#NAME?</v>
      </c>
      <c r="D4" t="e">
        <f ca="1"/>
        <v>#NAME?</v>
      </c>
      <c r="E4" t="e">
        <f ca="1"/>
        <v>#NAME?</v>
      </c>
      <c r="F4" t="e">
        <f ca="1"/>
        <v>#NAME?</v>
      </c>
      <c r="G4" t="e">
        <f ca="1"/>
        <v>#NAME?</v>
      </c>
      <c r="H4" t="e">
        <f ca="1"/>
        <v>#NAME?</v>
      </c>
      <c r="I4" t="e">
        <f ca="1"/>
        <v>#NAME?</v>
      </c>
      <c r="J4" t="e">
        <f ca="1"/>
        <v>#NAME?</v>
      </c>
      <c r="K4" t="e">
        <f ca="1"/>
        <v>#NAME?</v>
      </c>
      <c r="L4" t="e">
        <f ca="1"/>
        <v>#NAME?</v>
      </c>
      <c r="M4" t="e">
        <f ca="1"/>
        <v>#NAME?</v>
      </c>
      <c r="N4" t="e">
        <f ca="1"/>
        <v>#NAME?</v>
      </c>
      <c r="O4" t="e">
        <f ca="1"/>
        <v>#NAME?</v>
      </c>
      <c r="P4" t="e">
        <f ca="1"/>
        <v>#NAME?</v>
      </c>
      <c r="Q4" t="e">
        <f ca="1"/>
        <v>#NAME?</v>
      </c>
    </row>
    <row r="5" spans="1:17">
      <c r="A5" t="e">
        <f ca="1"/>
        <v>#NAME?</v>
      </c>
      <c r="B5" t="e">
        <f ca="1"/>
        <v>#NAME?</v>
      </c>
      <c r="C5" t="e">
        <f ca="1"/>
        <v>#NAME?</v>
      </c>
      <c r="D5" t="e">
        <f ca="1"/>
        <v>#NAME?</v>
      </c>
      <c r="E5" t="e">
        <f ca="1"/>
        <v>#NAME?</v>
      </c>
      <c r="F5" t="e">
        <f ca="1"/>
        <v>#NAME?</v>
      </c>
      <c r="G5" t="e">
        <f ca="1"/>
        <v>#NAME?</v>
      </c>
      <c r="H5" t="e">
        <f ca="1"/>
        <v>#NAME?</v>
      </c>
      <c r="I5" t="e">
        <f ca="1"/>
        <v>#NAME?</v>
      </c>
      <c r="J5" t="e">
        <f ca="1"/>
        <v>#NAME?</v>
      </c>
      <c r="K5" t="e">
        <f ca="1"/>
        <v>#NAME?</v>
      </c>
      <c r="L5" t="e">
        <f ca="1"/>
        <v>#NAME?</v>
      </c>
      <c r="M5" t="e">
        <f ca="1"/>
        <v>#NAME?</v>
      </c>
      <c r="N5" t="e">
        <f ca="1"/>
        <v>#NAME?</v>
      </c>
      <c r="O5" t="e">
        <f ca="1"/>
        <v>#NAME?</v>
      </c>
      <c r="P5" t="e">
        <f ca="1"/>
        <v>#NAME?</v>
      </c>
      <c r="Q5" t="e">
        <f ca="1"/>
        <v>#NAME?</v>
      </c>
    </row>
    <row r="6" spans="1:17">
      <c r="A6" t="e">
        <f ca="1"/>
        <v>#NAME?</v>
      </c>
      <c r="B6" t="e">
        <f ca="1"/>
        <v>#NAME?</v>
      </c>
      <c r="C6" t="e">
        <f ca="1"/>
        <v>#NAME?</v>
      </c>
      <c r="D6" t="e">
        <f ca="1"/>
        <v>#NAME?</v>
      </c>
      <c r="E6" t="e">
        <f ca="1"/>
        <v>#NAME?</v>
      </c>
      <c r="F6" t="e">
        <f ca="1"/>
        <v>#NAME?</v>
      </c>
      <c r="G6" t="e">
        <f ca="1"/>
        <v>#NAME?</v>
      </c>
      <c r="H6" t="e">
        <f ca="1"/>
        <v>#NAME?</v>
      </c>
      <c r="I6" t="e">
        <f ca="1"/>
        <v>#NAME?</v>
      </c>
      <c r="J6" t="e">
        <f ca="1"/>
        <v>#NAME?</v>
      </c>
      <c r="K6" t="e">
        <f ca="1"/>
        <v>#NAME?</v>
      </c>
      <c r="L6" t="e">
        <f ca="1"/>
        <v>#NAME?</v>
      </c>
      <c r="M6" t="e">
        <f ca="1"/>
        <v>#NAME?</v>
      </c>
      <c r="N6" t="e">
        <f ca="1"/>
        <v>#NAME?</v>
      </c>
      <c r="O6" t="e">
        <f ca="1"/>
        <v>#NAME?</v>
      </c>
      <c r="P6" t="e">
        <f ca="1"/>
        <v>#NAME?</v>
      </c>
      <c r="Q6" t="e">
        <f ca="1"/>
        <v>#NAME?</v>
      </c>
    </row>
    <row r="7" spans="1:17">
      <c r="A7" t="e">
        <f ca="1"/>
        <v>#NAME?</v>
      </c>
      <c r="B7" t="e">
        <f ca="1"/>
        <v>#NAME?</v>
      </c>
      <c r="C7" t="e">
        <f ca="1"/>
        <v>#NAME?</v>
      </c>
      <c r="D7" t="e">
        <f ca="1"/>
        <v>#NAME?</v>
      </c>
      <c r="E7" t="e">
        <f ca="1"/>
        <v>#NAME?</v>
      </c>
      <c r="F7" t="e">
        <f ca="1"/>
        <v>#NAME?</v>
      </c>
      <c r="G7" t="e">
        <f ca="1"/>
        <v>#NAME?</v>
      </c>
      <c r="H7" t="e">
        <f ca="1"/>
        <v>#NAME?</v>
      </c>
      <c r="I7" t="e">
        <f ca="1"/>
        <v>#NAME?</v>
      </c>
      <c r="J7" t="e">
        <f ca="1"/>
        <v>#NAME?</v>
      </c>
      <c r="K7" t="e">
        <f ca="1"/>
        <v>#NAME?</v>
      </c>
      <c r="L7" t="e">
        <f ca="1"/>
        <v>#NAME?</v>
      </c>
      <c r="M7" t="e">
        <f ca="1"/>
        <v>#NAME?</v>
      </c>
      <c r="N7" t="e">
        <f ca="1"/>
        <v>#NAME?</v>
      </c>
      <c r="O7" t="e">
        <f ca="1"/>
        <v>#NAME?</v>
      </c>
      <c r="P7" t="e">
        <f ca="1"/>
        <v>#NAME?</v>
      </c>
      <c r="Q7" t="e">
        <f ca="1"/>
        <v>#NAME?</v>
      </c>
    </row>
    <row r="8" spans="1:17">
      <c r="A8" t="e">
        <f ca="1"/>
        <v>#NAME?</v>
      </c>
      <c r="B8" t="e">
        <f ca="1"/>
        <v>#NAME?</v>
      </c>
      <c r="C8" t="e">
        <f ca="1"/>
        <v>#NAME?</v>
      </c>
      <c r="D8" t="e">
        <f ca="1"/>
        <v>#NAME?</v>
      </c>
      <c r="E8" t="e">
        <f ca="1"/>
        <v>#NAME?</v>
      </c>
      <c r="F8" t="e">
        <f ca="1"/>
        <v>#NAME?</v>
      </c>
      <c r="G8" t="e">
        <f ca="1"/>
        <v>#NAME?</v>
      </c>
      <c r="H8" t="e">
        <f ca="1"/>
        <v>#NAME?</v>
      </c>
      <c r="I8" t="e">
        <f ca="1"/>
        <v>#NAME?</v>
      </c>
      <c r="J8" t="e">
        <f ca="1"/>
        <v>#NAME?</v>
      </c>
      <c r="K8" t="e">
        <f ca="1"/>
        <v>#NAME?</v>
      </c>
      <c r="L8" t="e">
        <f ca="1"/>
        <v>#NAME?</v>
      </c>
      <c r="M8" t="e">
        <f ca="1"/>
        <v>#NAME?</v>
      </c>
      <c r="N8" t="e">
        <f ca="1"/>
        <v>#NAME?</v>
      </c>
      <c r="O8" t="e">
        <f ca="1"/>
        <v>#NAME?</v>
      </c>
      <c r="P8" t="e">
        <f ca="1"/>
        <v>#NAME?</v>
      </c>
      <c r="Q8" t="e">
        <f ca="1"/>
        <v>#NAME?</v>
      </c>
    </row>
    <row r="9" spans="1:17">
      <c r="A9" t="e">
        <f ca="1"/>
        <v>#NAME?</v>
      </c>
      <c r="B9" t="e">
        <f ca="1"/>
        <v>#NAME?</v>
      </c>
      <c r="C9" t="e">
        <f ca="1"/>
        <v>#NAME?</v>
      </c>
      <c r="D9" t="e">
        <f ca="1"/>
        <v>#NAME?</v>
      </c>
      <c r="E9" t="e">
        <f ca="1"/>
        <v>#NAME?</v>
      </c>
      <c r="F9" t="e">
        <f ca="1"/>
        <v>#NAME?</v>
      </c>
      <c r="G9" t="e">
        <f ca="1"/>
        <v>#NAME?</v>
      </c>
      <c r="H9" t="e">
        <f ca="1"/>
        <v>#NAME?</v>
      </c>
      <c r="I9" t="e">
        <f ca="1"/>
        <v>#NAME?</v>
      </c>
      <c r="J9" t="e">
        <f ca="1"/>
        <v>#NAME?</v>
      </c>
      <c r="K9" t="e">
        <f ca="1"/>
        <v>#NAME?</v>
      </c>
      <c r="L9" t="e">
        <f ca="1"/>
        <v>#NAME?</v>
      </c>
      <c r="M9" t="e">
        <f ca="1"/>
        <v>#NAME?</v>
      </c>
      <c r="N9" t="e">
        <f ca="1"/>
        <v>#NAME?</v>
      </c>
      <c r="O9" t="e">
        <f ca="1"/>
        <v>#NAME?</v>
      </c>
      <c r="P9" t="e">
        <f ca="1"/>
        <v>#NAME?</v>
      </c>
      <c r="Q9" t="e">
        <f ca="1"/>
        <v>#NAME?</v>
      </c>
    </row>
    <row r="10" spans="1:17">
      <c r="A10" t="e">
        <f ca="1"/>
        <v>#NAME?</v>
      </c>
      <c r="B10" t="e">
        <f ca="1"/>
        <v>#NAME?</v>
      </c>
      <c r="C10" t="e">
        <f ca="1"/>
        <v>#NAME?</v>
      </c>
      <c r="D10" t="e">
        <f ca="1"/>
        <v>#NAME?</v>
      </c>
      <c r="E10" t="e">
        <f ca="1"/>
        <v>#NAME?</v>
      </c>
      <c r="F10" t="e">
        <f ca="1"/>
        <v>#NAME?</v>
      </c>
      <c r="G10" t="e">
        <f ca="1"/>
        <v>#NAME?</v>
      </c>
      <c r="H10" t="e">
        <f ca="1"/>
        <v>#NAME?</v>
      </c>
      <c r="I10" t="e">
        <f ca="1"/>
        <v>#NAME?</v>
      </c>
      <c r="J10" t="e">
        <f ca="1"/>
        <v>#NAME?</v>
      </c>
      <c r="K10" t="e">
        <f ca="1"/>
        <v>#NAME?</v>
      </c>
      <c r="L10" t="e">
        <f ca="1"/>
        <v>#NAME?</v>
      </c>
      <c r="M10" t="e">
        <f ca="1"/>
        <v>#NAME?</v>
      </c>
      <c r="N10" t="e">
        <f ca="1"/>
        <v>#NAME?</v>
      </c>
      <c r="O10" t="e">
        <f ca="1"/>
        <v>#NAME?</v>
      </c>
      <c r="P10" t="e">
        <f ca="1"/>
        <v>#NAME?</v>
      </c>
      <c r="Q10" t="e">
        <f ca="1"/>
        <v>#NAME?</v>
      </c>
    </row>
    <row r="11" spans="1:17">
      <c r="A11" t="e">
        <f ca="1"/>
        <v>#NAME?</v>
      </c>
      <c r="B11" t="e">
        <f ca="1"/>
        <v>#NAME?</v>
      </c>
      <c r="C11" t="e">
        <f ca="1"/>
        <v>#NAME?</v>
      </c>
      <c r="D11" t="e">
        <f ca="1"/>
        <v>#NAME?</v>
      </c>
      <c r="E11" t="e">
        <f ca="1"/>
        <v>#NAME?</v>
      </c>
      <c r="F11" t="e">
        <f ca="1"/>
        <v>#NAME?</v>
      </c>
      <c r="G11" t="e">
        <f ca="1"/>
        <v>#NAME?</v>
      </c>
      <c r="H11" t="e">
        <f ca="1"/>
        <v>#NAME?</v>
      </c>
      <c r="I11" t="e">
        <f ca="1"/>
        <v>#NAME?</v>
      </c>
      <c r="J11" t="e">
        <f ca="1"/>
        <v>#NAME?</v>
      </c>
      <c r="K11" t="e">
        <f ca="1"/>
        <v>#NAME?</v>
      </c>
      <c r="L11" t="e">
        <f ca="1"/>
        <v>#NAME?</v>
      </c>
      <c r="M11" t="e">
        <f ca="1"/>
        <v>#NAME?</v>
      </c>
      <c r="N11" t="e">
        <f ca="1"/>
        <v>#NAME?</v>
      </c>
      <c r="O11" t="e">
        <f ca="1"/>
        <v>#NAME?</v>
      </c>
      <c r="P11" t="e">
        <f ca="1"/>
        <v>#NAME?</v>
      </c>
      <c r="Q11" t="e">
        <f ca="1"/>
        <v>#NAME?</v>
      </c>
    </row>
    <row r="12" spans="1:17">
      <c r="A12" t="e">
        <f ca="1"/>
        <v>#NAME?</v>
      </c>
      <c r="B12" t="e">
        <f ca="1"/>
        <v>#NAME?</v>
      </c>
      <c r="C12" t="e">
        <f ca="1"/>
        <v>#NAME?</v>
      </c>
      <c r="D12" t="e">
        <f ca="1"/>
        <v>#NAME?</v>
      </c>
      <c r="E12" t="e">
        <f ca="1"/>
        <v>#NAME?</v>
      </c>
      <c r="F12" t="e">
        <f ca="1"/>
        <v>#NAME?</v>
      </c>
      <c r="G12" t="e">
        <f ca="1"/>
        <v>#NAME?</v>
      </c>
      <c r="H12" t="e">
        <f ca="1"/>
        <v>#NAME?</v>
      </c>
      <c r="I12" t="e">
        <f ca="1"/>
        <v>#NAME?</v>
      </c>
      <c r="J12" t="e">
        <f ca="1"/>
        <v>#NAME?</v>
      </c>
      <c r="K12" t="e">
        <f ca="1"/>
        <v>#NAME?</v>
      </c>
      <c r="L12" t="e">
        <f ca="1"/>
        <v>#NAME?</v>
      </c>
      <c r="M12" t="e">
        <f ca="1"/>
        <v>#NAME?</v>
      </c>
      <c r="N12" t="e">
        <f ca="1"/>
        <v>#NAME?</v>
      </c>
      <c r="O12" t="e">
        <f ca="1"/>
        <v>#NAME?</v>
      </c>
      <c r="P12" t="e">
        <f ca="1"/>
        <v>#NAME?</v>
      </c>
      <c r="Q12" t="e">
        <f ca="1"/>
        <v>#NAME?</v>
      </c>
    </row>
    <row r="13" spans="1:17">
      <c r="A13" t="e">
        <f ca="1"/>
        <v>#NAME?</v>
      </c>
      <c r="B13" t="e">
        <f ca="1"/>
        <v>#NAME?</v>
      </c>
      <c r="C13" t="e">
        <f ca="1"/>
        <v>#NAME?</v>
      </c>
      <c r="D13" t="e">
        <f ca="1"/>
        <v>#NAME?</v>
      </c>
      <c r="E13" t="e">
        <f ca="1"/>
        <v>#NAME?</v>
      </c>
      <c r="F13" t="e">
        <f ca="1"/>
        <v>#NAME?</v>
      </c>
      <c r="G13" t="e">
        <f ca="1"/>
        <v>#NAME?</v>
      </c>
      <c r="H13" t="e">
        <f ca="1"/>
        <v>#NAME?</v>
      </c>
      <c r="I13" t="e">
        <f ca="1"/>
        <v>#NAME?</v>
      </c>
      <c r="J13" t="e">
        <f ca="1"/>
        <v>#NAME?</v>
      </c>
      <c r="K13" t="e">
        <f ca="1"/>
        <v>#NAME?</v>
      </c>
      <c r="L13" t="e">
        <f ca="1"/>
        <v>#NAME?</v>
      </c>
      <c r="M13" t="e">
        <f ca="1"/>
        <v>#NAME?</v>
      </c>
      <c r="N13" t="e">
        <f ca="1"/>
        <v>#NAME?</v>
      </c>
      <c r="O13" t="e">
        <f ca="1"/>
        <v>#NAME?</v>
      </c>
      <c r="P13" t="e">
        <f ca="1"/>
        <v>#NAME?</v>
      </c>
      <c r="Q13" t="e">
        <f ca="1"/>
        <v>#NAME?</v>
      </c>
    </row>
    <row r="14" spans="1:17">
      <c r="A14" t="e">
        <f ca="1"/>
        <v>#NAME?</v>
      </c>
      <c r="B14" t="e">
        <f ca="1"/>
        <v>#NAME?</v>
      </c>
      <c r="C14" t="e">
        <f ca="1"/>
        <v>#NAME?</v>
      </c>
      <c r="D14" t="e">
        <f ca="1"/>
        <v>#NAME?</v>
      </c>
      <c r="E14" t="e">
        <f ca="1"/>
        <v>#NAME?</v>
      </c>
      <c r="F14" t="e">
        <f ca="1"/>
        <v>#NAME?</v>
      </c>
      <c r="G14" t="e">
        <f ca="1"/>
        <v>#NAME?</v>
      </c>
      <c r="H14" t="e">
        <f ca="1"/>
        <v>#NAME?</v>
      </c>
      <c r="I14" t="e">
        <f ca="1"/>
        <v>#NAME?</v>
      </c>
      <c r="J14" t="e">
        <f ca="1"/>
        <v>#NAME?</v>
      </c>
      <c r="K14" t="e">
        <f ca="1"/>
        <v>#NAME?</v>
      </c>
      <c r="L14" t="e">
        <f ca="1"/>
        <v>#NAME?</v>
      </c>
      <c r="M14" t="e">
        <f ca="1"/>
        <v>#NAME?</v>
      </c>
      <c r="N14" t="e">
        <f ca="1"/>
        <v>#NAME?</v>
      </c>
      <c r="O14" t="e">
        <f ca="1"/>
        <v>#NAME?</v>
      </c>
      <c r="P14" t="e">
        <f ca="1"/>
        <v>#NAME?</v>
      </c>
      <c r="Q14" t="e">
        <f ca="1"/>
        <v>#NAME?</v>
      </c>
    </row>
    <row r="15" spans="1:17">
      <c r="A15" t="e">
        <f ca="1"/>
        <v>#NAME?</v>
      </c>
      <c r="B15" t="e">
        <f ca="1"/>
        <v>#NAME?</v>
      </c>
      <c r="C15" t="e">
        <f ca="1"/>
        <v>#NAME?</v>
      </c>
      <c r="D15" t="e">
        <f ca="1"/>
        <v>#NAME?</v>
      </c>
      <c r="E15" t="e">
        <f ca="1"/>
        <v>#NAME?</v>
      </c>
      <c r="F15" t="e">
        <f ca="1"/>
        <v>#NAME?</v>
      </c>
      <c r="G15" t="e">
        <f ca="1"/>
        <v>#NAME?</v>
      </c>
      <c r="H15" t="e">
        <f ca="1"/>
        <v>#NAME?</v>
      </c>
      <c r="I15" t="e">
        <f ca="1"/>
        <v>#NAME?</v>
      </c>
      <c r="J15" t="e">
        <f ca="1"/>
        <v>#NAME?</v>
      </c>
      <c r="K15" t="e">
        <f ca="1"/>
        <v>#NAME?</v>
      </c>
      <c r="L15" t="e">
        <f ca="1"/>
        <v>#NAME?</v>
      </c>
      <c r="M15" t="e">
        <f ca="1"/>
        <v>#NAME?</v>
      </c>
      <c r="N15" t="e">
        <f ca="1"/>
        <v>#NAME?</v>
      </c>
      <c r="O15" t="e">
        <f ca="1"/>
        <v>#NAME?</v>
      </c>
      <c r="P15" t="e">
        <f ca="1"/>
        <v>#NAME?</v>
      </c>
      <c r="Q15" t="e">
        <f ca="1"/>
        <v>#NAME?</v>
      </c>
    </row>
    <row r="16" spans="1:17">
      <c r="A16" t="e">
        <f ca="1"/>
        <v>#NAME?</v>
      </c>
      <c r="B16" t="e">
        <f ca="1"/>
        <v>#NAME?</v>
      </c>
      <c r="C16" t="e">
        <f ca="1"/>
        <v>#NAME?</v>
      </c>
      <c r="D16" t="e">
        <f ca="1"/>
        <v>#NAME?</v>
      </c>
      <c r="E16" t="e">
        <f ca="1"/>
        <v>#NAME?</v>
      </c>
      <c r="F16" t="e">
        <f ca="1"/>
        <v>#NAME?</v>
      </c>
      <c r="G16" t="e">
        <f ca="1"/>
        <v>#NAME?</v>
      </c>
      <c r="H16" t="e">
        <f ca="1"/>
        <v>#NAME?</v>
      </c>
      <c r="I16" t="e">
        <f ca="1"/>
        <v>#NAME?</v>
      </c>
      <c r="J16" t="e">
        <f ca="1"/>
        <v>#NAME?</v>
      </c>
      <c r="K16" t="e">
        <f ca="1"/>
        <v>#NAME?</v>
      </c>
      <c r="L16" t="e">
        <f ca="1"/>
        <v>#NAME?</v>
      </c>
      <c r="M16" t="e">
        <f ca="1"/>
        <v>#NAME?</v>
      </c>
      <c r="N16" t="e">
        <f ca="1"/>
        <v>#NAME?</v>
      </c>
      <c r="O16" t="e">
        <f ca="1"/>
        <v>#NAME?</v>
      </c>
      <c r="P16" t="e">
        <f ca="1"/>
        <v>#NAME?</v>
      </c>
      <c r="Q16" t="e">
        <f ca="1"/>
        <v>#NAME?</v>
      </c>
    </row>
    <row r="17" spans="1:17">
      <c r="A17" t="e">
        <f ca="1"/>
        <v>#NAME?</v>
      </c>
      <c r="B17" t="e">
        <f ca="1"/>
        <v>#NAME?</v>
      </c>
      <c r="C17" t="e">
        <f ca="1"/>
        <v>#NAME?</v>
      </c>
      <c r="D17" t="e">
        <f ca="1"/>
        <v>#NAME?</v>
      </c>
      <c r="E17" t="e">
        <f ca="1"/>
        <v>#NAME?</v>
      </c>
      <c r="F17" t="e">
        <f ca="1"/>
        <v>#NAME?</v>
      </c>
      <c r="G17" t="e">
        <f ca="1"/>
        <v>#NAME?</v>
      </c>
      <c r="H17" t="e">
        <f ca="1"/>
        <v>#NAME?</v>
      </c>
      <c r="I17" t="e">
        <f ca="1"/>
        <v>#NAME?</v>
      </c>
      <c r="J17" t="e">
        <f ca="1"/>
        <v>#NAME?</v>
      </c>
      <c r="K17" t="e">
        <f ca="1"/>
        <v>#NAME?</v>
      </c>
      <c r="L17" t="e">
        <f ca="1"/>
        <v>#NAME?</v>
      </c>
      <c r="M17" t="e">
        <f ca="1"/>
        <v>#NAME?</v>
      </c>
      <c r="N17" t="e">
        <f ca="1"/>
        <v>#NAME?</v>
      </c>
      <c r="O17" t="e">
        <f ca="1"/>
        <v>#NAME?</v>
      </c>
      <c r="P17" t="e">
        <f ca="1"/>
        <v>#NAME?</v>
      </c>
      <c r="Q17" t="e">
        <f ca="1"/>
        <v>#NAME?</v>
      </c>
    </row>
    <row r="18" spans="1:17">
      <c r="A18" t="e">
        <f ca="1"/>
        <v>#NAME?</v>
      </c>
      <c r="B18" t="e">
        <f ca="1"/>
        <v>#NAME?</v>
      </c>
      <c r="C18" t="e">
        <f ca="1"/>
        <v>#NAME?</v>
      </c>
      <c r="D18" t="e">
        <f ca="1"/>
        <v>#NAME?</v>
      </c>
      <c r="E18" t="e">
        <f ca="1"/>
        <v>#NAME?</v>
      </c>
      <c r="F18" t="e">
        <f ca="1"/>
        <v>#NAME?</v>
      </c>
      <c r="G18" t="e">
        <f ca="1"/>
        <v>#NAME?</v>
      </c>
      <c r="H18" t="e">
        <f ca="1"/>
        <v>#NAME?</v>
      </c>
      <c r="I18" t="e">
        <f ca="1"/>
        <v>#NAME?</v>
      </c>
      <c r="J18" t="e">
        <f ca="1"/>
        <v>#NAME?</v>
      </c>
      <c r="K18" t="e">
        <f ca="1"/>
        <v>#NAME?</v>
      </c>
      <c r="L18" t="e">
        <f ca="1"/>
        <v>#NAME?</v>
      </c>
      <c r="M18" t="e">
        <f ca="1"/>
        <v>#NAME?</v>
      </c>
      <c r="N18" t="e">
        <f ca="1"/>
        <v>#NAME?</v>
      </c>
      <c r="O18" t="e">
        <f ca="1"/>
        <v>#NAME?</v>
      </c>
      <c r="P18" t="e">
        <f ca="1"/>
        <v>#NAME?</v>
      </c>
      <c r="Q18" t="e">
        <f ca="1"/>
        <v>#NAME?</v>
      </c>
    </row>
    <row r="19" spans="1:17">
      <c r="A19" t="e">
        <f ca="1"/>
        <v>#NAME?</v>
      </c>
      <c r="B19" t="e">
        <f ca="1"/>
        <v>#NAME?</v>
      </c>
      <c r="C19" t="e">
        <f ca="1"/>
        <v>#NAME?</v>
      </c>
      <c r="D19" t="e">
        <f ca="1"/>
        <v>#NAME?</v>
      </c>
      <c r="E19" t="e">
        <f ca="1"/>
        <v>#NAME?</v>
      </c>
      <c r="F19" t="e">
        <f ca="1"/>
        <v>#NAME?</v>
      </c>
      <c r="G19" t="e">
        <f ca="1"/>
        <v>#NAME?</v>
      </c>
      <c r="H19" t="e">
        <f ca="1"/>
        <v>#NAME?</v>
      </c>
      <c r="I19" t="e">
        <f ca="1"/>
        <v>#NAME?</v>
      </c>
      <c r="J19" t="e">
        <f ca="1"/>
        <v>#NAME?</v>
      </c>
      <c r="K19" t="e">
        <f ca="1"/>
        <v>#NAME?</v>
      </c>
      <c r="L19" t="e">
        <f ca="1"/>
        <v>#NAME?</v>
      </c>
      <c r="M19" t="e">
        <f ca="1"/>
        <v>#NAME?</v>
      </c>
      <c r="N19" t="e">
        <f ca="1"/>
        <v>#NAME?</v>
      </c>
      <c r="O19" t="e">
        <f ca="1"/>
        <v>#NAME?</v>
      </c>
      <c r="P19" t="e">
        <f ca="1"/>
        <v>#NAME?</v>
      </c>
      <c r="Q19" t="e">
        <f ca="1"/>
        <v>#NAME?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2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" ca="1">_xlfn._xlws.FILTER(Specifications!B2:R99991, Specifications!A2:A99991 = "Germany", "")</f>
        <v>#NAME?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8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:Q8" ca="1">_xlfn._xlws.FILTER(Specifications!B2:R99991, Specifications!A2:A99991 = "Italy", "")</f>
        <v>#NAME?</v>
      </c>
      <c r="B2" t="e">
        <f ca="1"/>
        <v>#NAME?</v>
      </c>
      <c r="C2" t="e">
        <f ca="1"/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  <c r="M2" t="e">
        <f ca="1"/>
        <v>#NAME?</v>
      </c>
      <c r="N2" t="e">
        <f ca="1"/>
        <v>#NAME?</v>
      </c>
      <c r="O2" t="e">
        <f ca="1"/>
        <v>#NAME?</v>
      </c>
      <c r="P2" t="e">
        <f ca="1"/>
        <v>#NAME?</v>
      </c>
      <c r="Q2" t="e">
        <f ca="1"/>
        <v>#NAME?</v>
      </c>
    </row>
    <row r="3" spans="1:17">
      <c r="A3" t="e">
        <f ca="1"/>
        <v>#NAME?</v>
      </c>
      <c r="B3" t="e">
        <f ca="1"/>
        <v>#NAME?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  <c r="M3" t="e">
        <f ca="1"/>
        <v>#NAME?</v>
      </c>
      <c r="N3" t="e">
        <f ca="1"/>
        <v>#NAME?</v>
      </c>
      <c r="O3" t="e">
        <f ca="1"/>
        <v>#NAME?</v>
      </c>
      <c r="P3" t="e">
        <f ca="1"/>
        <v>#NAME?</v>
      </c>
      <c r="Q3" t="e">
        <f ca="1"/>
        <v>#NAME?</v>
      </c>
    </row>
    <row r="4" spans="1:17">
      <c r="A4" t="e">
        <f ca="1"/>
        <v>#NAME?</v>
      </c>
      <c r="B4" t="e">
        <f ca="1"/>
        <v>#NAME?</v>
      </c>
      <c r="C4" t="e">
        <f ca="1"/>
        <v>#NAME?</v>
      </c>
      <c r="D4" t="e">
        <f ca="1"/>
        <v>#NAME?</v>
      </c>
      <c r="E4" t="e">
        <f ca="1"/>
        <v>#NAME?</v>
      </c>
      <c r="F4" t="e">
        <f ca="1"/>
        <v>#NAME?</v>
      </c>
      <c r="G4" t="e">
        <f ca="1"/>
        <v>#NAME?</v>
      </c>
      <c r="H4" t="e">
        <f ca="1"/>
        <v>#NAME?</v>
      </c>
      <c r="I4" t="e">
        <f ca="1"/>
        <v>#NAME?</v>
      </c>
      <c r="J4" t="e">
        <f ca="1"/>
        <v>#NAME?</v>
      </c>
      <c r="K4" t="e">
        <f ca="1"/>
        <v>#NAME?</v>
      </c>
      <c r="L4" t="e">
        <f ca="1"/>
        <v>#NAME?</v>
      </c>
      <c r="M4" t="e">
        <f ca="1"/>
        <v>#NAME?</v>
      </c>
      <c r="N4" t="e">
        <f ca="1"/>
        <v>#NAME?</v>
      </c>
      <c r="O4" t="e">
        <f ca="1"/>
        <v>#NAME?</v>
      </c>
      <c r="P4" t="e">
        <f ca="1"/>
        <v>#NAME?</v>
      </c>
      <c r="Q4" t="e">
        <f ca="1"/>
        <v>#NAME?</v>
      </c>
    </row>
    <row r="5" spans="1:17">
      <c r="A5" t="e">
        <f ca="1"/>
        <v>#NAME?</v>
      </c>
      <c r="B5" t="e">
        <f ca="1"/>
        <v>#NAME?</v>
      </c>
      <c r="C5" t="e">
        <f ca="1"/>
        <v>#NAME?</v>
      </c>
      <c r="D5" t="e">
        <f ca="1"/>
        <v>#NAME?</v>
      </c>
      <c r="E5" t="e">
        <f ca="1"/>
        <v>#NAME?</v>
      </c>
      <c r="F5" t="e">
        <f ca="1"/>
        <v>#NAME?</v>
      </c>
      <c r="G5" t="e">
        <f ca="1"/>
        <v>#NAME?</v>
      </c>
      <c r="H5" t="e">
        <f ca="1"/>
        <v>#NAME?</v>
      </c>
      <c r="I5" t="e">
        <f ca="1"/>
        <v>#NAME?</v>
      </c>
      <c r="J5" t="e">
        <f ca="1"/>
        <v>#NAME?</v>
      </c>
      <c r="K5" t="e">
        <f ca="1"/>
        <v>#NAME?</v>
      </c>
      <c r="L5" t="e">
        <f ca="1"/>
        <v>#NAME?</v>
      </c>
      <c r="M5" t="e">
        <f ca="1"/>
        <v>#NAME?</v>
      </c>
      <c r="N5" t="e">
        <f ca="1"/>
        <v>#NAME?</v>
      </c>
      <c r="O5" t="e">
        <f ca="1"/>
        <v>#NAME?</v>
      </c>
      <c r="P5" t="e">
        <f ca="1"/>
        <v>#NAME?</v>
      </c>
      <c r="Q5" t="e">
        <f ca="1"/>
        <v>#NAME?</v>
      </c>
    </row>
    <row r="6" spans="1:17">
      <c r="A6" t="e">
        <f ca="1"/>
        <v>#NAME?</v>
      </c>
      <c r="B6" t="e">
        <f ca="1"/>
        <v>#NAME?</v>
      </c>
      <c r="C6" t="e">
        <f ca="1"/>
        <v>#NAME?</v>
      </c>
      <c r="D6" t="e">
        <f ca="1"/>
        <v>#NAME?</v>
      </c>
      <c r="E6" t="e">
        <f ca="1"/>
        <v>#NAME?</v>
      </c>
      <c r="F6" t="e">
        <f ca="1"/>
        <v>#NAME?</v>
      </c>
      <c r="G6" t="e">
        <f ca="1"/>
        <v>#NAME?</v>
      </c>
      <c r="H6" t="e">
        <f ca="1"/>
        <v>#NAME?</v>
      </c>
      <c r="I6" t="e">
        <f ca="1"/>
        <v>#NAME?</v>
      </c>
      <c r="J6" t="e">
        <f ca="1"/>
        <v>#NAME?</v>
      </c>
      <c r="K6" t="e">
        <f ca="1"/>
        <v>#NAME?</v>
      </c>
      <c r="L6" t="e">
        <f ca="1"/>
        <v>#NAME?</v>
      </c>
      <c r="M6" t="e">
        <f ca="1"/>
        <v>#NAME?</v>
      </c>
      <c r="N6" t="e">
        <f ca="1"/>
        <v>#NAME?</v>
      </c>
      <c r="O6" t="e">
        <f ca="1"/>
        <v>#NAME?</v>
      </c>
      <c r="P6" t="e">
        <f ca="1"/>
        <v>#NAME?</v>
      </c>
      <c r="Q6" t="e">
        <f ca="1"/>
        <v>#NAME?</v>
      </c>
    </row>
    <row r="7" spans="1:17">
      <c r="A7" t="e">
        <f ca="1"/>
        <v>#NAME?</v>
      </c>
      <c r="B7" t="e">
        <f ca="1"/>
        <v>#NAME?</v>
      </c>
      <c r="C7" t="e">
        <f ca="1"/>
        <v>#NAME?</v>
      </c>
      <c r="D7" t="e">
        <f ca="1"/>
        <v>#NAME?</v>
      </c>
      <c r="E7" t="e">
        <f ca="1"/>
        <v>#NAME?</v>
      </c>
      <c r="F7" t="e">
        <f ca="1"/>
        <v>#NAME?</v>
      </c>
      <c r="G7" t="e">
        <f ca="1"/>
        <v>#NAME?</v>
      </c>
      <c r="H7" t="e">
        <f ca="1"/>
        <v>#NAME?</v>
      </c>
      <c r="I7" t="e">
        <f ca="1"/>
        <v>#NAME?</v>
      </c>
      <c r="J7" t="e">
        <f ca="1"/>
        <v>#NAME?</v>
      </c>
      <c r="K7" t="e">
        <f ca="1"/>
        <v>#NAME?</v>
      </c>
      <c r="L7" t="e">
        <f ca="1"/>
        <v>#NAME?</v>
      </c>
      <c r="M7" t="e">
        <f ca="1"/>
        <v>#NAME?</v>
      </c>
      <c r="N7" t="e">
        <f ca="1"/>
        <v>#NAME?</v>
      </c>
      <c r="O7" t="e">
        <f ca="1"/>
        <v>#NAME?</v>
      </c>
      <c r="P7" t="e">
        <f ca="1"/>
        <v>#NAME?</v>
      </c>
      <c r="Q7" t="e">
        <f ca="1"/>
        <v>#NAME?</v>
      </c>
    </row>
    <row r="8" spans="1:17">
      <c r="A8" t="e">
        <f ca="1"/>
        <v>#NAME?</v>
      </c>
      <c r="B8" t="e">
        <f ca="1"/>
        <v>#NAME?</v>
      </c>
      <c r="C8" t="e">
        <f ca="1"/>
        <v>#NAME?</v>
      </c>
      <c r="D8" t="e">
        <f ca="1"/>
        <v>#NAME?</v>
      </c>
      <c r="E8" t="e">
        <f ca="1"/>
        <v>#NAME?</v>
      </c>
      <c r="F8" t="e">
        <f ca="1"/>
        <v>#NAME?</v>
      </c>
      <c r="G8" t="e">
        <f ca="1"/>
        <v>#NAME?</v>
      </c>
      <c r="H8" t="e">
        <f ca="1"/>
        <v>#NAME?</v>
      </c>
      <c r="I8" t="e">
        <f ca="1"/>
        <v>#NAME?</v>
      </c>
      <c r="J8" t="e">
        <f ca="1"/>
        <v>#NAME?</v>
      </c>
      <c r="K8" t="e">
        <f ca="1"/>
        <v>#NAME?</v>
      </c>
      <c r="L8" t="e">
        <f ca="1"/>
        <v>#NAME?</v>
      </c>
      <c r="M8" t="e">
        <f ca="1"/>
        <v>#NAME?</v>
      </c>
      <c r="N8" t="e">
        <f ca="1"/>
        <v>#NAME?</v>
      </c>
      <c r="O8" t="e">
        <f ca="1"/>
        <v>#NAME?</v>
      </c>
      <c r="P8" t="e">
        <f ca="1"/>
        <v>#NAME?</v>
      </c>
      <c r="Q8" t="e">
        <f ca="1"/>
        <v>#NAME?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8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:Q8" ca="1">_xlfn._xlws.FILTER(Specifications!B2:R99991, Specifications!A2:A99991 = "Italy", "")</f>
        <v>#NAME?</v>
      </c>
      <c r="B2" t="e">
        <f ca="1"/>
        <v>#NAME?</v>
      </c>
      <c r="C2" t="e">
        <f ca="1"/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  <c r="M2" t="e">
        <f ca="1"/>
        <v>#NAME?</v>
      </c>
      <c r="N2" t="e">
        <f ca="1"/>
        <v>#NAME?</v>
      </c>
      <c r="O2" t="e">
        <f ca="1"/>
        <v>#NAME?</v>
      </c>
      <c r="P2" t="e">
        <f ca="1"/>
        <v>#NAME?</v>
      </c>
      <c r="Q2" t="e">
        <f ca="1"/>
        <v>#NAME?</v>
      </c>
    </row>
    <row r="3" spans="1:17">
      <c r="A3" t="e">
        <f ca="1"/>
        <v>#NAME?</v>
      </c>
      <c r="B3" t="e">
        <f ca="1"/>
        <v>#NAME?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  <c r="M3" t="e">
        <f ca="1"/>
        <v>#NAME?</v>
      </c>
      <c r="N3" t="e">
        <f ca="1"/>
        <v>#NAME?</v>
      </c>
      <c r="O3" t="e">
        <f ca="1"/>
        <v>#NAME?</v>
      </c>
      <c r="P3" t="e">
        <f ca="1"/>
        <v>#NAME?</v>
      </c>
      <c r="Q3" t="e">
        <f ca="1"/>
        <v>#NAME?</v>
      </c>
    </row>
    <row r="4" spans="1:17">
      <c r="A4" t="e">
        <f ca="1"/>
        <v>#NAME?</v>
      </c>
      <c r="B4" t="e">
        <f ca="1"/>
        <v>#NAME?</v>
      </c>
      <c r="C4" t="e">
        <f ca="1"/>
        <v>#NAME?</v>
      </c>
      <c r="D4" t="e">
        <f ca="1"/>
        <v>#NAME?</v>
      </c>
      <c r="E4" t="e">
        <f ca="1"/>
        <v>#NAME?</v>
      </c>
      <c r="F4" t="e">
        <f ca="1"/>
        <v>#NAME?</v>
      </c>
      <c r="G4" t="e">
        <f ca="1"/>
        <v>#NAME?</v>
      </c>
      <c r="H4" t="e">
        <f ca="1"/>
        <v>#NAME?</v>
      </c>
      <c r="I4" t="e">
        <f ca="1"/>
        <v>#NAME?</v>
      </c>
      <c r="J4" t="e">
        <f ca="1"/>
        <v>#NAME?</v>
      </c>
      <c r="K4" t="e">
        <f ca="1"/>
        <v>#NAME?</v>
      </c>
      <c r="L4" t="e">
        <f ca="1"/>
        <v>#NAME?</v>
      </c>
      <c r="M4" t="e">
        <f ca="1"/>
        <v>#NAME?</v>
      </c>
      <c r="N4" t="e">
        <f ca="1"/>
        <v>#NAME?</v>
      </c>
      <c r="O4" t="e">
        <f ca="1"/>
        <v>#NAME?</v>
      </c>
      <c r="P4" t="e">
        <f ca="1"/>
        <v>#NAME?</v>
      </c>
      <c r="Q4" t="e">
        <f ca="1"/>
        <v>#NAME?</v>
      </c>
    </row>
    <row r="5" spans="1:17">
      <c r="A5" t="e">
        <f ca="1"/>
        <v>#NAME?</v>
      </c>
      <c r="B5" t="e">
        <f ca="1"/>
        <v>#NAME?</v>
      </c>
      <c r="C5" t="e">
        <f ca="1"/>
        <v>#NAME?</v>
      </c>
      <c r="D5" t="e">
        <f ca="1"/>
        <v>#NAME?</v>
      </c>
      <c r="E5" t="e">
        <f ca="1"/>
        <v>#NAME?</v>
      </c>
      <c r="F5" t="e">
        <f ca="1"/>
        <v>#NAME?</v>
      </c>
      <c r="G5" t="e">
        <f ca="1"/>
        <v>#NAME?</v>
      </c>
      <c r="H5" t="e">
        <f ca="1"/>
        <v>#NAME?</v>
      </c>
      <c r="I5" t="e">
        <f ca="1"/>
        <v>#NAME?</v>
      </c>
      <c r="J5" t="e">
        <f ca="1"/>
        <v>#NAME?</v>
      </c>
      <c r="K5" t="e">
        <f ca="1"/>
        <v>#NAME?</v>
      </c>
      <c r="L5" t="e">
        <f ca="1"/>
        <v>#NAME?</v>
      </c>
      <c r="M5" t="e">
        <f ca="1"/>
        <v>#NAME?</v>
      </c>
      <c r="N5" t="e">
        <f ca="1"/>
        <v>#NAME?</v>
      </c>
      <c r="O5" t="e">
        <f ca="1"/>
        <v>#NAME?</v>
      </c>
      <c r="P5" t="e">
        <f ca="1"/>
        <v>#NAME?</v>
      </c>
      <c r="Q5" t="e">
        <f ca="1"/>
        <v>#NAME?</v>
      </c>
    </row>
    <row r="6" spans="1:17">
      <c r="A6" t="e">
        <f ca="1"/>
        <v>#NAME?</v>
      </c>
      <c r="B6" t="e">
        <f ca="1"/>
        <v>#NAME?</v>
      </c>
      <c r="C6" t="e">
        <f ca="1"/>
        <v>#NAME?</v>
      </c>
      <c r="D6" t="e">
        <f ca="1"/>
        <v>#NAME?</v>
      </c>
      <c r="E6" t="e">
        <f ca="1"/>
        <v>#NAME?</v>
      </c>
      <c r="F6" t="e">
        <f ca="1"/>
        <v>#NAME?</v>
      </c>
      <c r="G6" t="e">
        <f ca="1"/>
        <v>#NAME?</v>
      </c>
      <c r="H6" t="e">
        <f ca="1"/>
        <v>#NAME?</v>
      </c>
      <c r="I6" t="e">
        <f ca="1"/>
        <v>#NAME?</v>
      </c>
      <c r="J6" t="e">
        <f ca="1"/>
        <v>#NAME?</v>
      </c>
      <c r="K6" t="e">
        <f ca="1"/>
        <v>#NAME?</v>
      </c>
      <c r="L6" t="e">
        <f ca="1"/>
        <v>#NAME?</v>
      </c>
      <c r="M6" t="e">
        <f ca="1"/>
        <v>#NAME?</v>
      </c>
      <c r="N6" t="e">
        <f ca="1"/>
        <v>#NAME?</v>
      </c>
      <c r="O6" t="e">
        <f ca="1"/>
        <v>#NAME?</v>
      </c>
      <c r="P6" t="e">
        <f ca="1"/>
        <v>#NAME?</v>
      </c>
      <c r="Q6" t="e">
        <f ca="1"/>
        <v>#NAME?</v>
      </c>
    </row>
    <row r="7" spans="1:17">
      <c r="A7" t="e">
        <f ca="1"/>
        <v>#NAME?</v>
      </c>
      <c r="B7" t="e">
        <f ca="1"/>
        <v>#NAME?</v>
      </c>
      <c r="C7" t="e">
        <f ca="1"/>
        <v>#NAME?</v>
      </c>
      <c r="D7" t="e">
        <f ca="1"/>
        <v>#NAME?</v>
      </c>
      <c r="E7" t="e">
        <f ca="1"/>
        <v>#NAME?</v>
      </c>
      <c r="F7" t="e">
        <f ca="1"/>
        <v>#NAME?</v>
      </c>
      <c r="G7" t="e">
        <f ca="1"/>
        <v>#NAME?</v>
      </c>
      <c r="H7" t="e">
        <f ca="1"/>
        <v>#NAME?</v>
      </c>
      <c r="I7" t="e">
        <f ca="1"/>
        <v>#NAME?</v>
      </c>
      <c r="J7" t="e">
        <f ca="1"/>
        <v>#NAME?</v>
      </c>
      <c r="K7" t="e">
        <f ca="1"/>
        <v>#NAME?</v>
      </c>
      <c r="L7" t="e">
        <f ca="1"/>
        <v>#NAME?</v>
      </c>
      <c r="M7" t="e">
        <f ca="1"/>
        <v>#NAME?</v>
      </c>
      <c r="N7" t="e">
        <f ca="1"/>
        <v>#NAME?</v>
      </c>
      <c r="O7" t="e">
        <f ca="1"/>
        <v>#NAME?</v>
      </c>
      <c r="P7" t="e">
        <f ca="1"/>
        <v>#NAME?</v>
      </c>
      <c r="Q7" t="e">
        <f ca="1"/>
        <v>#NAME?</v>
      </c>
    </row>
    <row r="8" spans="1:17">
      <c r="A8" t="e">
        <f ca="1"/>
        <v>#NAME?</v>
      </c>
      <c r="B8" t="e">
        <f ca="1"/>
        <v>#NAME?</v>
      </c>
      <c r="C8" t="e">
        <f ca="1"/>
        <v>#NAME?</v>
      </c>
      <c r="D8" t="e">
        <f ca="1"/>
        <v>#NAME?</v>
      </c>
      <c r="E8" t="e">
        <f ca="1"/>
        <v>#NAME?</v>
      </c>
      <c r="F8" t="e">
        <f ca="1"/>
        <v>#NAME?</v>
      </c>
      <c r="G8" t="e">
        <f ca="1"/>
        <v>#NAME?</v>
      </c>
      <c r="H8" t="e">
        <f ca="1"/>
        <v>#NAME?</v>
      </c>
      <c r="I8" t="e">
        <f ca="1"/>
        <v>#NAME?</v>
      </c>
      <c r="J8" t="e">
        <f ca="1"/>
        <v>#NAME?</v>
      </c>
      <c r="K8" t="e">
        <f ca="1"/>
        <v>#NAME?</v>
      </c>
      <c r="L8" t="e">
        <f ca="1"/>
        <v>#NAME?</v>
      </c>
      <c r="M8" t="e">
        <f ca="1"/>
        <v>#NAME?</v>
      </c>
      <c r="N8" t="e">
        <f ca="1"/>
        <v>#NAME?</v>
      </c>
      <c r="O8" t="e">
        <f ca="1"/>
        <v>#NAME?</v>
      </c>
      <c r="P8" t="e">
        <f ca="1"/>
        <v>#NAME?</v>
      </c>
      <c r="Q8" t="e">
        <f ca="1"/>
        <v>#NAME?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3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:Q3" ca="1">_xlfn._xlws.FILTER(Specifications!B2:R99991, Specifications!A2:A99991 = "Malaysia", "")</f>
        <v>#NAME?</v>
      </c>
      <c r="B2" t="e">
        <f ca="1"/>
        <v>#NAME?</v>
      </c>
      <c r="C2" t="e">
        <f ca="1"/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  <c r="M2" t="e">
        <f ca="1"/>
        <v>#NAME?</v>
      </c>
      <c r="N2" t="e">
        <f ca="1"/>
        <v>#NAME?</v>
      </c>
      <c r="O2" t="e">
        <f ca="1"/>
        <v>#NAME?</v>
      </c>
      <c r="P2" t="e">
        <f ca="1"/>
        <v>#NAME?</v>
      </c>
      <c r="Q2" t="e">
        <f ca="1"/>
        <v>#NAME?</v>
      </c>
    </row>
    <row r="3" spans="1:17">
      <c r="A3" t="e">
        <f ca="1"/>
        <v>#NAME?</v>
      </c>
      <c r="B3" t="e">
        <f ca="1"/>
        <v>#NAME?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  <c r="M3" t="e">
        <f ca="1"/>
        <v>#NAME?</v>
      </c>
      <c r="N3" t="e">
        <f ca="1"/>
        <v>#NAME?</v>
      </c>
      <c r="O3" t="e">
        <f ca="1"/>
        <v>#NAME?</v>
      </c>
      <c r="P3" t="e">
        <f ca="1"/>
        <v>#NAME?</v>
      </c>
      <c r="Q3" t="e">
        <f ca="1"/>
        <v>#NAME?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114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:Q114" ca="1">_xlfn._xlws.FILTER(Specifications!B2:R99991, Specifications!A2:A99991 = "MMF", "")</f>
        <v>#NAME?</v>
      </c>
      <c r="B2" t="e">
        <f ca="1"/>
        <v>#NAME?</v>
      </c>
      <c r="C2" t="e">
        <f ca="1"/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  <c r="M2" t="e">
        <f ca="1"/>
        <v>#NAME?</v>
      </c>
      <c r="N2" t="e">
        <f ca="1"/>
        <v>#NAME?</v>
      </c>
      <c r="O2" t="e">
        <f ca="1"/>
        <v>#NAME?</v>
      </c>
      <c r="P2" t="e">
        <f ca="1"/>
        <v>#NAME?</v>
      </c>
      <c r="Q2" t="e">
        <f ca="1"/>
        <v>#NAME?</v>
      </c>
    </row>
    <row r="3" spans="1:17">
      <c r="A3" t="e">
        <f ca="1"/>
        <v>#NAME?</v>
      </c>
      <c r="B3" t="e">
        <f ca="1"/>
        <v>#NAME?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  <c r="M3" t="e">
        <f ca="1"/>
        <v>#NAME?</v>
      </c>
      <c r="N3" t="e">
        <f ca="1"/>
        <v>#NAME?</v>
      </c>
      <c r="O3" t="e">
        <f ca="1"/>
        <v>#NAME?</v>
      </c>
      <c r="P3" t="e">
        <f ca="1"/>
        <v>#NAME?</v>
      </c>
      <c r="Q3" t="e">
        <f ca="1"/>
        <v>#NAME?</v>
      </c>
    </row>
    <row r="4" spans="1:17">
      <c r="A4" t="e">
        <f ca="1"/>
        <v>#NAME?</v>
      </c>
      <c r="B4" t="e">
        <f ca="1"/>
        <v>#NAME?</v>
      </c>
      <c r="C4" t="e">
        <f ca="1"/>
        <v>#NAME?</v>
      </c>
      <c r="D4" t="e">
        <f ca="1"/>
        <v>#NAME?</v>
      </c>
      <c r="E4" t="e">
        <f ca="1"/>
        <v>#NAME?</v>
      </c>
      <c r="F4" t="e">
        <f ca="1"/>
        <v>#NAME?</v>
      </c>
      <c r="G4" t="e">
        <f ca="1"/>
        <v>#NAME?</v>
      </c>
      <c r="H4" t="e">
        <f ca="1"/>
        <v>#NAME?</v>
      </c>
      <c r="I4" t="e">
        <f ca="1"/>
        <v>#NAME?</v>
      </c>
      <c r="J4" t="e">
        <f ca="1"/>
        <v>#NAME?</v>
      </c>
      <c r="K4" t="e">
        <f ca="1"/>
        <v>#NAME?</v>
      </c>
      <c r="L4" t="e">
        <f ca="1"/>
        <v>#NAME?</v>
      </c>
      <c r="M4" t="e">
        <f ca="1"/>
        <v>#NAME?</v>
      </c>
      <c r="N4" t="e">
        <f ca="1"/>
        <v>#NAME?</v>
      </c>
      <c r="O4" t="e">
        <f ca="1"/>
        <v>#NAME?</v>
      </c>
      <c r="P4" t="e">
        <f ca="1"/>
        <v>#NAME?</v>
      </c>
      <c r="Q4" t="e">
        <f ca="1"/>
        <v>#NAME?</v>
      </c>
    </row>
    <row r="5" spans="1:17">
      <c r="A5" t="e">
        <f ca="1"/>
        <v>#NAME?</v>
      </c>
      <c r="B5" t="e">
        <f ca="1"/>
        <v>#NAME?</v>
      </c>
      <c r="C5" t="e">
        <f ca="1"/>
        <v>#NAME?</v>
      </c>
      <c r="D5" t="e">
        <f ca="1"/>
        <v>#NAME?</v>
      </c>
      <c r="E5" t="e">
        <f ca="1"/>
        <v>#NAME?</v>
      </c>
      <c r="F5" t="e">
        <f ca="1"/>
        <v>#NAME?</v>
      </c>
      <c r="G5" t="e">
        <f ca="1"/>
        <v>#NAME?</v>
      </c>
      <c r="H5" t="e">
        <f ca="1"/>
        <v>#NAME?</v>
      </c>
      <c r="I5" t="e">
        <f ca="1"/>
        <v>#NAME?</v>
      </c>
      <c r="J5" t="e">
        <f ca="1"/>
        <v>#NAME?</v>
      </c>
      <c r="K5" t="e">
        <f ca="1"/>
        <v>#NAME?</v>
      </c>
      <c r="L5" t="e">
        <f ca="1"/>
        <v>#NAME?</v>
      </c>
      <c r="M5" t="e">
        <f ca="1"/>
        <v>#NAME?</v>
      </c>
      <c r="N5" t="e">
        <f ca="1"/>
        <v>#NAME?</v>
      </c>
      <c r="O5" t="e">
        <f ca="1"/>
        <v>#NAME?</v>
      </c>
      <c r="P5" t="e">
        <f ca="1"/>
        <v>#NAME?</v>
      </c>
      <c r="Q5" t="e">
        <f ca="1"/>
        <v>#NAME?</v>
      </c>
    </row>
    <row r="6" spans="1:17">
      <c r="A6" t="e">
        <f ca="1"/>
        <v>#NAME?</v>
      </c>
      <c r="B6" t="e">
        <f ca="1"/>
        <v>#NAME?</v>
      </c>
      <c r="C6" t="e">
        <f ca="1"/>
        <v>#NAME?</v>
      </c>
      <c r="D6" t="e">
        <f ca="1"/>
        <v>#NAME?</v>
      </c>
      <c r="E6" t="e">
        <f ca="1"/>
        <v>#NAME?</v>
      </c>
      <c r="F6" t="e">
        <f ca="1"/>
        <v>#NAME?</v>
      </c>
      <c r="G6" t="e">
        <f ca="1"/>
        <v>#NAME?</v>
      </c>
      <c r="H6" t="e">
        <f ca="1"/>
        <v>#NAME?</v>
      </c>
      <c r="I6" t="e">
        <f ca="1"/>
        <v>#NAME?</v>
      </c>
      <c r="J6" t="e">
        <f ca="1"/>
        <v>#NAME?</v>
      </c>
      <c r="K6" t="e">
        <f ca="1"/>
        <v>#NAME?</v>
      </c>
      <c r="L6" t="e">
        <f ca="1"/>
        <v>#NAME?</v>
      </c>
      <c r="M6" t="e">
        <f ca="1"/>
        <v>#NAME?</v>
      </c>
      <c r="N6" t="e">
        <f ca="1"/>
        <v>#NAME?</v>
      </c>
      <c r="O6" t="e">
        <f ca="1"/>
        <v>#NAME?</v>
      </c>
      <c r="P6" t="e">
        <f ca="1"/>
        <v>#NAME?</v>
      </c>
      <c r="Q6" t="e">
        <f ca="1"/>
        <v>#NAME?</v>
      </c>
    </row>
    <row r="7" spans="1:17">
      <c r="A7" t="e">
        <f ca="1"/>
        <v>#NAME?</v>
      </c>
      <c r="B7" t="e">
        <f ca="1"/>
        <v>#NAME?</v>
      </c>
      <c r="C7" t="e">
        <f ca="1"/>
        <v>#NAME?</v>
      </c>
      <c r="D7" t="e">
        <f ca="1"/>
        <v>#NAME?</v>
      </c>
      <c r="E7" t="e">
        <f ca="1"/>
        <v>#NAME?</v>
      </c>
      <c r="F7" t="e">
        <f ca="1"/>
        <v>#NAME?</v>
      </c>
      <c r="G7" t="e">
        <f ca="1"/>
        <v>#NAME?</v>
      </c>
      <c r="H7" t="e">
        <f ca="1"/>
        <v>#NAME?</v>
      </c>
      <c r="I7" t="e">
        <f ca="1"/>
        <v>#NAME?</v>
      </c>
      <c r="J7" t="e">
        <f ca="1"/>
        <v>#NAME?</v>
      </c>
      <c r="K7" t="e">
        <f ca="1"/>
        <v>#NAME?</v>
      </c>
      <c r="L7" t="e">
        <f ca="1"/>
        <v>#NAME?</v>
      </c>
      <c r="M7" t="e">
        <f ca="1"/>
        <v>#NAME?</v>
      </c>
      <c r="N7" t="e">
        <f ca="1"/>
        <v>#NAME?</v>
      </c>
      <c r="O7" t="e">
        <f ca="1"/>
        <v>#NAME?</v>
      </c>
      <c r="P7" t="e">
        <f ca="1"/>
        <v>#NAME?</v>
      </c>
      <c r="Q7" t="e">
        <f ca="1"/>
        <v>#NAME?</v>
      </c>
    </row>
    <row r="8" spans="1:17">
      <c r="A8" t="e">
        <f ca="1"/>
        <v>#NAME?</v>
      </c>
      <c r="B8" t="e">
        <f ca="1"/>
        <v>#NAME?</v>
      </c>
      <c r="C8" t="e">
        <f ca="1"/>
        <v>#NAME?</v>
      </c>
      <c r="D8" t="e">
        <f ca="1"/>
        <v>#NAME?</v>
      </c>
      <c r="E8" t="e">
        <f ca="1"/>
        <v>#NAME?</v>
      </c>
      <c r="F8" t="e">
        <f ca="1"/>
        <v>#NAME?</v>
      </c>
      <c r="G8" t="e">
        <f ca="1"/>
        <v>#NAME?</v>
      </c>
      <c r="H8" t="e">
        <f ca="1"/>
        <v>#NAME?</v>
      </c>
      <c r="I8" t="e">
        <f ca="1"/>
        <v>#NAME?</v>
      </c>
      <c r="J8" t="e">
        <f ca="1"/>
        <v>#NAME?</v>
      </c>
      <c r="K8" t="e">
        <f ca="1"/>
        <v>#NAME?</v>
      </c>
      <c r="L8" t="e">
        <f ca="1"/>
        <v>#NAME?</v>
      </c>
      <c r="M8" t="e">
        <f ca="1"/>
        <v>#NAME?</v>
      </c>
      <c r="N8" t="e">
        <f ca="1"/>
        <v>#NAME?</v>
      </c>
      <c r="O8" t="e">
        <f ca="1"/>
        <v>#NAME?</v>
      </c>
      <c r="P8" t="e">
        <f ca="1"/>
        <v>#NAME?</v>
      </c>
      <c r="Q8" t="e">
        <f ca="1"/>
        <v>#NAME?</v>
      </c>
    </row>
    <row r="9" spans="1:17">
      <c r="A9" t="e">
        <f ca="1"/>
        <v>#NAME?</v>
      </c>
      <c r="B9" t="e">
        <f ca="1"/>
        <v>#NAME?</v>
      </c>
      <c r="C9" t="e">
        <f ca="1"/>
        <v>#NAME?</v>
      </c>
      <c r="D9" t="e">
        <f ca="1"/>
        <v>#NAME?</v>
      </c>
      <c r="E9" t="e">
        <f ca="1"/>
        <v>#NAME?</v>
      </c>
      <c r="F9" t="e">
        <f ca="1"/>
        <v>#NAME?</v>
      </c>
      <c r="G9" t="e">
        <f ca="1"/>
        <v>#NAME?</v>
      </c>
      <c r="H9" t="e">
        <f ca="1"/>
        <v>#NAME?</v>
      </c>
      <c r="I9" t="e">
        <f ca="1"/>
        <v>#NAME?</v>
      </c>
      <c r="J9" t="e">
        <f ca="1"/>
        <v>#NAME?</v>
      </c>
      <c r="K9" t="e">
        <f ca="1"/>
        <v>#NAME?</v>
      </c>
      <c r="L9" t="e">
        <f ca="1"/>
        <v>#NAME?</v>
      </c>
      <c r="M9" t="e">
        <f ca="1"/>
        <v>#NAME?</v>
      </c>
      <c r="N9" t="e">
        <f ca="1"/>
        <v>#NAME?</v>
      </c>
      <c r="O9" t="e">
        <f ca="1"/>
        <v>#NAME?</v>
      </c>
      <c r="P9" t="e">
        <f ca="1"/>
        <v>#NAME?</v>
      </c>
      <c r="Q9" t="e">
        <f ca="1"/>
        <v>#NAME?</v>
      </c>
    </row>
    <row r="10" spans="1:17">
      <c r="A10" t="e">
        <f ca="1"/>
        <v>#NAME?</v>
      </c>
      <c r="B10" t="e">
        <f ca="1"/>
        <v>#NAME?</v>
      </c>
      <c r="C10" t="e">
        <f ca="1"/>
        <v>#NAME?</v>
      </c>
      <c r="D10" t="e">
        <f ca="1"/>
        <v>#NAME?</v>
      </c>
      <c r="E10" t="e">
        <f ca="1"/>
        <v>#NAME?</v>
      </c>
      <c r="F10" t="e">
        <f ca="1"/>
        <v>#NAME?</v>
      </c>
      <c r="G10" t="e">
        <f ca="1"/>
        <v>#NAME?</v>
      </c>
      <c r="H10" t="e">
        <f ca="1"/>
        <v>#NAME?</v>
      </c>
      <c r="I10" t="e">
        <f ca="1"/>
        <v>#NAME?</v>
      </c>
      <c r="J10" t="e">
        <f ca="1"/>
        <v>#NAME?</v>
      </c>
      <c r="K10" t="e">
        <f ca="1"/>
        <v>#NAME?</v>
      </c>
      <c r="L10" t="e">
        <f ca="1"/>
        <v>#NAME?</v>
      </c>
      <c r="M10" t="e">
        <f ca="1"/>
        <v>#NAME?</v>
      </c>
      <c r="N10" t="e">
        <f ca="1"/>
        <v>#NAME?</v>
      </c>
      <c r="O10" t="e">
        <f ca="1"/>
        <v>#NAME?</v>
      </c>
      <c r="P10" t="e">
        <f ca="1"/>
        <v>#NAME?</v>
      </c>
      <c r="Q10" t="e">
        <f ca="1"/>
        <v>#NAME?</v>
      </c>
    </row>
    <row r="11" spans="1:17">
      <c r="A11" t="e">
        <f ca="1"/>
        <v>#NAME?</v>
      </c>
      <c r="B11" t="e">
        <f ca="1"/>
        <v>#NAME?</v>
      </c>
      <c r="C11" t="e">
        <f ca="1"/>
        <v>#NAME?</v>
      </c>
      <c r="D11" t="e">
        <f ca="1"/>
        <v>#NAME?</v>
      </c>
      <c r="E11" t="e">
        <f ca="1"/>
        <v>#NAME?</v>
      </c>
      <c r="F11" t="e">
        <f ca="1"/>
        <v>#NAME?</v>
      </c>
      <c r="G11" t="e">
        <f ca="1"/>
        <v>#NAME?</v>
      </c>
      <c r="H11" t="e">
        <f ca="1"/>
        <v>#NAME?</v>
      </c>
      <c r="I11" t="e">
        <f ca="1"/>
        <v>#NAME?</v>
      </c>
      <c r="J11" t="e">
        <f ca="1"/>
        <v>#NAME?</v>
      </c>
      <c r="K11" t="e">
        <f ca="1"/>
        <v>#NAME?</v>
      </c>
      <c r="L11" t="e">
        <f ca="1"/>
        <v>#NAME?</v>
      </c>
      <c r="M11" t="e">
        <f ca="1"/>
        <v>#NAME?</v>
      </c>
      <c r="N11" t="e">
        <f ca="1"/>
        <v>#NAME?</v>
      </c>
      <c r="O11" t="e">
        <f ca="1"/>
        <v>#NAME?</v>
      </c>
      <c r="P11" t="e">
        <f ca="1"/>
        <v>#NAME?</v>
      </c>
      <c r="Q11" t="e">
        <f ca="1"/>
        <v>#NAME?</v>
      </c>
    </row>
    <row r="12" spans="1:17">
      <c r="A12" t="e">
        <f ca="1"/>
        <v>#NAME?</v>
      </c>
      <c r="B12" t="e">
        <f ca="1"/>
        <v>#NAME?</v>
      </c>
      <c r="C12" t="e">
        <f ca="1"/>
        <v>#NAME?</v>
      </c>
      <c r="D12" t="e">
        <f ca="1"/>
        <v>#NAME?</v>
      </c>
      <c r="E12" t="e">
        <f ca="1"/>
        <v>#NAME?</v>
      </c>
      <c r="F12" t="e">
        <f ca="1"/>
        <v>#NAME?</v>
      </c>
      <c r="G12" t="e">
        <f ca="1"/>
        <v>#NAME?</v>
      </c>
      <c r="H12" t="e">
        <f ca="1"/>
        <v>#NAME?</v>
      </c>
      <c r="I12" t="e">
        <f ca="1"/>
        <v>#NAME?</v>
      </c>
      <c r="J12" t="e">
        <f ca="1"/>
        <v>#NAME?</v>
      </c>
      <c r="K12" t="e">
        <f ca="1"/>
        <v>#NAME?</v>
      </c>
      <c r="L12" t="e">
        <f ca="1"/>
        <v>#NAME?</v>
      </c>
      <c r="M12" t="e">
        <f ca="1"/>
        <v>#NAME?</v>
      </c>
      <c r="N12" t="e">
        <f ca="1"/>
        <v>#NAME?</v>
      </c>
      <c r="O12" t="e">
        <f ca="1"/>
        <v>#NAME?</v>
      </c>
      <c r="P12" t="e">
        <f ca="1"/>
        <v>#NAME?</v>
      </c>
      <c r="Q12" t="e">
        <f ca="1"/>
        <v>#NAME?</v>
      </c>
    </row>
    <row r="13" spans="1:17">
      <c r="A13" t="e">
        <f ca="1"/>
        <v>#NAME?</v>
      </c>
      <c r="B13" t="e">
        <f ca="1"/>
        <v>#NAME?</v>
      </c>
      <c r="C13" t="e">
        <f ca="1"/>
        <v>#NAME?</v>
      </c>
      <c r="D13" t="e">
        <f ca="1"/>
        <v>#NAME?</v>
      </c>
      <c r="E13" t="e">
        <f ca="1"/>
        <v>#NAME?</v>
      </c>
      <c r="F13" t="e">
        <f ca="1"/>
        <v>#NAME?</v>
      </c>
      <c r="G13" t="e">
        <f ca="1"/>
        <v>#NAME?</v>
      </c>
      <c r="H13" t="e">
        <f ca="1"/>
        <v>#NAME?</v>
      </c>
      <c r="I13" t="e">
        <f ca="1"/>
        <v>#NAME?</v>
      </c>
      <c r="J13" t="e">
        <f ca="1"/>
        <v>#NAME?</v>
      </c>
      <c r="K13" t="e">
        <f ca="1"/>
        <v>#NAME?</v>
      </c>
      <c r="L13" t="e">
        <f ca="1"/>
        <v>#NAME?</v>
      </c>
      <c r="M13" t="e">
        <f ca="1"/>
        <v>#NAME?</v>
      </c>
      <c r="N13" t="e">
        <f ca="1"/>
        <v>#NAME?</v>
      </c>
      <c r="O13" t="e">
        <f ca="1"/>
        <v>#NAME?</v>
      </c>
      <c r="P13" t="e">
        <f ca="1"/>
        <v>#NAME?</v>
      </c>
      <c r="Q13" t="e">
        <f ca="1"/>
        <v>#NAME?</v>
      </c>
    </row>
    <row r="14" spans="1:17">
      <c r="A14" t="e">
        <f ca="1"/>
        <v>#NAME?</v>
      </c>
      <c r="B14" t="e">
        <f ca="1"/>
        <v>#NAME?</v>
      </c>
      <c r="C14" t="e">
        <f ca="1"/>
        <v>#NAME?</v>
      </c>
      <c r="D14" t="e">
        <f ca="1"/>
        <v>#NAME?</v>
      </c>
      <c r="E14" t="e">
        <f ca="1"/>
        <v>#NAME?</v>
      </c>
      <c r="F14" t="e">
        <f ca="1"/>
        <v>#NAME?</v>
      </c>
      <c r="G14" t="e">
        <f ca="1"/>
        <v>#NAME?</v>
      </c>
      <c r="H14" t="e">
        <f ca="1"/>
        <v>#NAME?</v>
      </c>
      <c r="I14" t="e">
        <f ca="1"/>
        <v>#NAME?</v>
      </c>
      <c r="J14" t="e">
        <f ca="1"/>
        <v>#NAME?</v>
      </c>
      <c r="K14" t="e">
        <f ca="1"/>
        <v>#NAME?</v>
      </c>
      <c r="L14" t="e">
        <f ca="1"/>
        <v>#NAME?</v>
      </c>
      <c r="M14" t="e">
        <f ca="1"/>
        <v>#NAME?</v>
      </c>
      <c r="N14" t="e">
        <f ca="1"/>
        <v>#NAME?</v>
      </c>
      <c r="O14" t="e">
        <f ca="1"/>
        <v>#NAME?</v>
      </c>
      <c r="P14" t="e">
        <f ca="1"/>
        <v>#NAME?</v>
      </c>
      <c r="Q14" t="e">
        <f ca="1"/>
        <v>#NAME?</v>
      </c>
    </row>
    <row r="15" spans="1:17">
      <c r="A15" t="e">
        <f ca="1"/>
        <v>#NAME?</v>
      </c>
      <c r="B15" t="e">
        <f ca="1"/>
        <v>#NAME?</v>
      </c>
      <c r="C15" t="e">
        <f ca="1"/>
        <v>#NAME?</v>
      </c>
      <c r="D15" t="e">
        <f ca="1"/>
        <v>#NAME?</v>
      </c>
      <c r="E15" t="e">
        <f ca="1"/>
        <v>#NAME?</v>
      </c>
      <c r="F15" t="e">
        <f ca="1"/>
        <v>#NAME?</v>
      </c>
      <c r="G15" t="e">
        <f ca="1"/>
        <v>#NAME?</v>
      </c>
      <c r="H15" t="e">
        <f ca="1"/>
        <v>#NAME?</v>
      </c>
      <c r="I15" t="e">
        <f ca="1"/>
        <v>#NAME?</v>
      </c>
      <c r="J15" t="e">
        <f ca="1"/>
        <v>#NAME?</v>
      </c>
      <c r="K15" t="e">
        <f ca="1"/>
        <v>#NAME?</v>
      </c>
      <c r="L15" t="e">
        <f ca="1"/>
        <v>#NAME?</v>
      </c>
      <c r="M15" t="e">
        <f ca="1"/>
        <v>#NAME?</v>
      </c>
      <c r="N15" t="e">
        <f ca="1"/>
        <v>#NAME?</v>
      </c>
      <c r="O15" t="e">
        <f ca="1"/>
        <v>#NAME?</v>
      </c>
      <c r="P15" t="e">
        <f ca="1"/>
        <v>#NAME?</v>
      </c>
      <c r="Q15" t="e">
        <f ca="1"/>
        <v>#NAME?</v>
      </c>
    </row>
    <row r="16" spans="1:17">
      <c r="A16" t="e">
        <f ca="1"/>
        <v>#NAME?</v>
      </c>
      <c r="B16" t="e">
        <f ca="1"/>
        <v>#NAME?</v>
      </c>
      <c r="C16" t="e">
        <f ca="1"/>
        <v>#NAME?</v>
      </c>
      <c r="D16" t="e">
        <f ca="1"/>
        <v>#NAME?</v>
      </c>
      <c r="E16" t="e">
        <f ca="1"/>
        <v>#NAME?</v>
      </c>
      <c r="F16" t="e">
        <f ca="1"/>
        <v>#NAME?</v>
      </c>
      <c r="G16" t="e">
        <f ca="1"/>
        <v>#NAME?</v>
      </c>
      <c r="H16" t="e">
        <f ca="1"/>
        <v>#NAME?</v>
      </c>
      <c r="I16" t="e">
        <f ca="1"/>
        <v>#NAME?</v>
      </c>
      <c r="J16" t="e">
        <f ca="1"/>
        <v>#NAME?</v>
      </c>
      <c r="K16" t="e">
        <f ca="1"/>
        <v>#NAME?</v>
      </c>
      <c r="L16" t="e">
        <f ca="1"/>
        <v>#NAME?</v>
      </c>
      <c r="M16" t="e">
        <f ca="1"/>
        <v>#NAME?</v>
      </c>
      <c r="N16" t="e">
        <f ca="1"/>
        <v>#NAME?</v>
      </c>
      <c r="O16" t="e">
        <f ca="1"/>
        <v>#NAME?</v>
      </c>
      <c r="P16" t="e">
        <f ca="1"/>
        <v>#NAME?</v>
      </c>
      <c r="Q16" t="e">
        <f ca="1"/>
        <v>#NAME?</v>
      </c>
    </row>
    <row r="17" spans="1:17">
      <c r="A17" t="e">
        <f ca="1"/>
        <v>#NAME?</v>
      </c>
      <c r="B17" t="e">
        <f ca="1"/>
        <v>#NAME?</v>
      </c>
      <c r="C17" t="e">
        <f ca="1"/>
        <v>#NAME?</v>
      </c>
      <c r="D17" t="e">
        <f ca="1"/>
        <v>#NAME?</v>
      </c>
      <c r="E17" t="e">
        <f ca="1"/>
        <v>#NAME?</v>
      </c>
      <c r="F17" t="e">
        <f ca="1"/>
        <v>#NAME?</v>
      </c>
      <c r="G17" t="e">
        <f ca="1"/>
        <v>#NAME?</v>
      </c>
      <c r="H17" t="e">
        <f ca="1"/>
        <v>#NAME?</v>
      </c>
      <c r="I17" t="e">
        <f ca="1"/>
        <v>#NAME?</v>
      </c>
      <c r="J17" t="e">
        <f ca="1"/>
        <v>#NAME?</v>
      </c>
      <c r="K17" t="e">
        <f ca="1"/>
        <v>#NAME?</v>
      </c>
      <c r="L17" t="e">
        <f ca="1"/>
        <v>#NAME?</v>
      </c>
      <c r="M17" t="e">
        <f ca="1"/>
        <v>#NAME?</v>
      </c>
      <c r="N17" t="e">
        <f ca="1"/>
        <v>#NAME?</v>
      </c>
      <c r="O17" t="e">
        <f ca="1"/>
        <v>#NAME?</v>
      </c>
      <c r="P17" t="e">
        <f ca="1"/>
        <v>#NAME?</v>
      </c>
      <c r="Q17" t="e">
        <f ca="1"/>
        <v>#NAME?</v>
      </c>
    </row>
    <row r="18" spans="1:17">
      <c r="A18" t="e">
        <f ca="1"/>
        <v>#NAME?</v>
      </c>
      <c r="B18" t="e">
        <f ca="1"/>
        <v>#NAME?</v>
      </c>
      <c r="C18" t="e">
        <f ca="1"/>
        <v>#NAME?</v>
      </c>
      <c r="D18" t="e">
        <f ca="1"/>
        <v>#NAME?</v>
      </c>
      <c r="E18" t="e">
        <f ca="1"/>
        <v>#NAME?</v>
      </c>
      <c r="F18" t="e">
        <f ca="1"/>
        <v>#NAME?</v>
      </c>
      <c r="G18" t="e">
        <f ca="1"/>
        <v>#NAME?</v>
      </c>
      <c r="H18" t="e">
        <f ca="1"/>
        <v>#NAME?</v>
      </c>
      <c r="I18" t="e">
        <f ca="1"/>
        <v>#NAME?</v>
      </c>
      <c r="J18" t="e">
        <f ca="1"/>
        <v>#NAME?</v>
      </c>
      <c r="K18" t="e">
        <f ca="1"/>
        <v>#NAME?</v>
      </c>
      <c r="L18" t="e">
        <f ca="1"/>
        <v>#NAME?</v>
      </c>
      <c r="M18" t="e">
        <f ca="1"/>
        <v>#NAME?</v>
      </c>
      <c r="N18" t="e">
        <f ca="1"/>
        <v>#NAME?</v>
      </c>
      <c r="O18" t="e">
        <f ca="1"/>
        <v>#NAME?</v>
      </c>
      <c r="P18" t="e">
        <f ca="1"/>
        <v>#NAME?</v>
      </c>
      <c r="Q18" t="e">
        <f ca="1"/>
        <v>#NAME?</v>
      </c>
    </row>
    <row r="19" spans="1:17">
      <c r="A19" t="e">
        <f ca="1"/>
        <v>#NAME?</v>
      </c>
      <c r="B19" t="e">
        <f ca="1"/>
        <v>#NAME?</v>
      </c>
      <c r="C19" t="e">
        <f ca="1"/>
        <v>#NAME?</v>
      </c>
      <c r="D19" t="e">
        <f ca="1"/>
        <v>#NAME?</v>
      </c>
      <c r="E19" t="e">
        <f ca="1"/>
        <v>#NAME?</v>
      </c>
      <c r="F19" t="e">
        <f ca="1"/>
        <v>#NAME?</v>
      </c>
      <c r="G19" t="e">
        <f ca="1"/>
        <v>#NAME?</v>
      </c>
      <c r="H19" t="e">
        <f ca="1"/>
        <v>#NAME?</v>
      </c>
      <c r="I19" t="e">
        <f ca="1"/>
        <v>#NAME?</v>
      </c>
      <c r="J19" t="e">
        <f ca="1"/>
        <v>#NAME?</v>
      </c>
      <c r="K19" t="e">
        <f ca="1"/>
        <v>#NAME?</v>
      </c>
      <c r="L19" t="e">
        <f ca="1"/>
        <v>#NAME?</v>
      </c>
      <c r="M19" t="e">
        <f ca="1"/>
        <v>#NAME?</v>
      </c>
      <c r="N19" t="e">
        <f ca="1"/>
        <v>#NAME?</v>
      </c>
      <c r="O19" t="e">
        <f ca="1"/>
        <v>#NAME?</v>
      </c>
      <c r="P19" t="e">
        <f ca="1"/>
        <v>#NAME?</v>
      </c>
      <c r="Q19" t="e">
        <f ca="1"/>
        <v>#NAME?</v>
      </c>
    </row>
    <row r="20" spans="1:17">
      <c r="A20" t="e">
        <f ca="1"/>
        <v>#NAME?</v>
      </c>
      <c r="B20" t="e">
        <f ca="1"/>
        <v>#NAME?</v>
      </c>
      <c r="C20" t="e">
        <f ca="1"/>
        <v>#NAME?</v>
      </c>
      <c r="D20" t="e">
        <f ca="1"/>
        <v>#NAME?</v>
      </c>
      <c r="E20" t="e">
        <f ca="1"/>
        <v>#NAME?</v>
      </c>
      <c r="F20" t="e">
        <f ca="1"/>
        <v>#NAME?</v>
      </c>
      <c r="G20" t="e">
        <f ca="1"/>
        <v>#NAME?</v>
      </c>
      <c r="H20" t="e">
        <f ca="1"/>
        <v>#NAME?</v>
      </c>
      <c r="I20" t="e">
        <f ca="1"/>
        <v>#NAME?</v>
      </c>
      <c r="J20" t="e">
        <f ca="1"/>
        <v>#NAME?</v>
      </c>
      <c r="K20" t="e">
        <f ca="1"/>
        <v>#NAME?</v>
      </c>
      <c r="L20" t="e">
        <f ca="1"/>
        <v>#NAME?</v>
      </c>
      <c r="M20" t="e">
        <f ca="1"/>
        <v>#NAME?</v>
      </c>
      <c r="N20" t="e">
        <f ca="1"/>
        <v>#NAME?</v>
      </c>
      <c r="O20" t="e">
        <f ca="1"/>
        <v>#NAME?</v>
      </c>
      <c r="P20" t="e">
        <f ca="1"/>
        <v>#NAME?</v>
      </c>
      <c r="Q20" t="e">
        <f ca="1"/>
        <v>#NAME?</v>
      </c>
    </row>
    <row r="21" spans="1:17">
      <c r="A21" t="e">
        <f ca="1"/>
        <v>#NAME?</v>
      </c>
      <c r="B21" t="e">
        <f ca="1"/>
        <v>#NAME?</v>
      </c>
      <c r="C21" t="e">
        <f ca="1"/>
        <v>#NAME?</v>
      </c>
      <c r="D21" t="e">
        <f ca="1"/>
        <v>#NAME?</v>
      </c>
      <c r="E21" t="e">
        <f ca="1"/>
        <v>#NAME?</v>
      </c>
      <c r="F21" t="e">
        <f ca="1"/>
        <v>#NAME?</v>
      </c>
      <c r="G21" t="e">
        <f ca="1"/>
        <v>#NAME?</v>
      </c>
      <c r="H21" t="e">
        <f ca="1"/>
        <v>#NAME?</v>
      </c>
      <c r="I21" t="e">
        <f ca="1"/>
        <v>#NAME?</v>
      </c>
      <c r="J21" t="e">
        <f ca="1"/>
        <v>#NAME?</v>
      </c>
      <c r="K21" t="e">
        <f ca="1"/>
        <v>#NAME?</v>
      </c>
      <c r="L21" t="e">
        <f ca="1"/>
        <v>#NAME?</v>
      </c>
      <c r="M21" t="e">
        <f ca="1"/>
        <v>#NAME?</v>
      </c>
      <c r="N21" t="e">
        <f ca="1"/>
        <v>#NAME?</v>
      </c>
      <c r="O21" t="e">
        <f ca="1"/>
        <v>#NAME?</v>
      </c>
      <c r="P21" t="e">
        <f ca="1"/>
        <v>#NAME?</v>
      </c>
      <c r="Q21" t="e">
        <f ca="1"/>
        <v>#NAME?</v>
      </c>
    </row>
    <row r="22" spans="1:17">
      <c r="A22" t="e">
        <f ca="1"/>
        <v>#NAME?</v>
      </c>
      <c r="B22" t="e">
        <f ca="1"/>
        <v>#NAME?</v>
      </c>
      <c r="C22" t="e">
        <f ca="1"/>
        <v>#NAME?</v>
      </c>
      <c r="D22" t="e">
        <f ca="1"/>
        <v>#NAME?</v>
      </c>
      <c r="E22" t="e">
        <f ca="1"/>
        <v>#NAME?</v>
      </c>
      <c r="F22" t="e">
        <f ca="1"/>
        <v>#NAME?</v>
      </c>
      <c r="G22" t="e">
        <f ca="1"/>
        <v>#NAME?</v>
      </c>
      <c r="H22" t="e">
        <f ca="1"/>
        <v>#NAME?</v>
      </c>
      <c r="I22" t="e">
        <f ca="1"/>
        <v>#NAME?</v>
      </c>
      <c r="J22" t="e">
        <f ca="1"/>
        <v>#NAME?</v>
      </c>
      <c r="K22" t="e">
        <f ca="1"/>
        <v>#NAME?</v>
      </c>
      <c r="L22" t="e">
        <f ca="1"/>
        <v>#NAME?</v>
      </c>
      <c r="M22" t="e">
        <f ca="1"/>
        <v>#NAME?</v>
      </c>
      <c r="N22" t="e">
        <f ca="1"/>
        <v>#NAME?</v>
      </c>
      <c r="O22" t="e">
        <f ca="1"/>
        <v>#NAME?</v>
      </c>
      <c r="P22" t="e">
        <f ca="1"/>
        <v>#NAME?</v>
      </c>
      <c r="Q22" t="e">
        <f ca="1"/>
        <v>#NAME?</v>
      </c>
    </row>
    <row r="23" spans="1:17">
      <c r="A23" t="e">
        <f ca="1"/>
        <v>#NAME?</v>
      </c>
      <c r="B23" t="e">
        <f ca="1"/>
        <v>#NAME?</v>
      </c>
      <c r="C23" t="e">
        <f ca="1"/>
        <v>#NAME?</v>
      </c>
      <c r="D23" t="e">
        <f ca="1"/>
        <v>#NAME?</v>
      </c>
      <c r="E23" t="e">
        <f ca="1"/>
        <v>#NAME?</v>
      </c>
      <c r="F23" t="e">
        <f ca="1"/>
        <v>#NAME?</v>
      </c>
      <c r="G23" t="e">
        <f ca="1"/>
        <v>#NAME?</v>
      </c>
      <c r="H23" t="e">
        <f ca="1"/>
        <v>#NAME?</v>
      </c>
      <c r="I23" t="e">
        <f ca="1"/>
        <v>#NAME?</v>
      </c>
      <c r="J23" t="e">
        <f ca="1"/>
        <v>#NAME?</v>
      </c>
      <c r="K23" t="e">
        <f ca="1"/>
        <v>#NAME?</v>
      </c>
      <c r="L23" t="e">
        <f ca="1"/>
        <v>#NAME?</v>
      </c>
      <c r="M23" t="e">
        <f ca="1"/>
        <v>#NAME?</v>
      </c>
      <c r="N23" t="e">
        <f ca="1"/>
        <v>#NAME?</v>
      </c>
      <c r="O23" t="e">
        <f ca="1"/>
        <v>#NAME?</v>
      </c>
      <c r="P23" t="e">
        <f ca="1"/>
        <v>#NAME?</v>
      </c>
      <c r="Q23" t="e">
        <f ca="1"/>
        <v>#NAME?</v>
      </c>
    </row>
    <row r="24" spans="1:17">
      <c r="A24" t="e">
        <f ca="1"/>
        <v>#NAME?</v>
      </c>
      <c r="B24" t="e">
        <f ca="1"/>
        <v>#NAME?</v>
      </c>
      <c r="C24" t="e">
        <f ca="1"/>
        <v>#NAME?</v>
      </c>
      <c r="D24" t="e">
        <f ca="1"/>
        <v>#NAME?</v>
      </c>
      <c r="E24" t="e">
        <f ca="1"/>
        <v>#NAME?</v>
      </c>
      <c r="F24" t="e">
        <f ca="1"/>
        <v>#NAME?</v>
      </c>
      <c r="G24" t="e">
        <f ca="1"/>
        <v>#NAME?</v>
      </c>
      <c r="H24" t="e">
        <f ca="1"/>
        <v>#NAME?</v>
      </c>
      <c r="I24" t="e">
        <f ca="1"/>
        <v>#NAME?</v>
      </c>
      <c r="J24" t="e">
        <f ca="1"/>
        <v>#NAME?</v>
      </c>
      <c r="K24" t="e">
        <f ca="1"/>
        <v>#NAME?</v>
      </c>
      <c r="L24" t="e">
        <f ca="1"/>
        <v>#NAME?</v>
      </c>
      <c r="M24" t="e">
        <f ca="1"/>
        <v>#NAME?</v>
      </c>
      <c r="N24" t="e">
        <f ca="1"/>
        <v>#NAME?</v>
      </c>
      <c r="O24" t="e">
        <f ca="1"/>
        <v>#NAME?</v>
      </c>
      <c r="P24" t="e">
        <f ca="1"/>
        <v>#NAME?</v>
      </c>
      <c r="Q24" t="e">
        <f ca="1"/>
        <v>#NAME?</v>
      </c>
    </row>
    <row r="25" spans="1:17">
      <c r="A25" t="e">
        <f ca="1"/>
        <v>#NAME?</v>
      </c>
      <c r="B25" t="e">
        <f ca="1"/>
        <v>#NAME?</v>
      </c>
      <c r="C25" t="e">
        <f ca="1"/>
        <v>#NAME?</v>
      </c>
      <c r="D25" t="e">
        <f ca="1"/>
        <v>#NAME?</v>
      </c>
      <c r="E25" t="e">
        <f ca="1"/>
        <v>#NAME?</v>
      </c>
      <c r="F25" t="e">
        <f ca="1"/>
        <v>#NAME?</v>
      </c>
      <c r="G25" t="e">
        <f ca="1"/>
        <v>#NAME?</v>
      </c>
      <c r="H25" t="e">
        <f ca="1"/>
        <v>#NAME?</v>
      </c>
      <c r="I25" t="e">
        <f ca="1"/>
        <v>#NAME?</v>
      </c>
      <c r="J25" t="e">
        <f ca="1"/>
        <v>#NAME?</v>
      </c>
      <c r="K25" t="e">
        <f ca="1"/>
        <v>#NAME?</v>
      </c>
      <c r="L25" t="e">
        <f ca="1"/>
        <v>#NAME?</v>
      </c>
      <c r="M25" t="e">
        <f ca="1"/>
        <v>#NAME?</v>
      </c>
      <c r="N25" t="e">
        <f ca="1"/>
        <v>#NAME?</v>
      </c>
      <c r="O25" t="e">
        <f ca="1"/>
        <v>#NAME?</v>
      </c>
      <c r="P25" t="e">
        <f ca="1"/>
        <v>#NAME?</v>
      </c>
      <c r="Q25" t="e">
        <f ca="1"/>
        <v>#NAME?</v>
      </c>
    </row>
    <row r="26" spans="1:17">
      <c r="A26" t="e">
        <f ca="1"/>
        <v>#NAME?</v>
      </c>
      <c r="B26" t="e">
        <f ca="1"/>
        <v>#NAME?</v>
      </c>
      <c r="C26" t="e">
        <f ca="1"/>
        <v>#NAME?</v>
      </c>
      <c r="D26" t="e">
        <f ca="1"/>
        <v>#NAME?</v>
      </c>
      <c r="E26" t="e">
        <f ca="1"/>
        <v>#NAME?</v>
      </c>
      <c r="F26" t="e">
        <f ca="1"/>
        <v>#NAME?</v>
      </c>
      <c r="G26" t="e">
        <f ca="1"/>
        <v>#NAME?</v>
      </c>
      <c r="H26" t="e">
        <f ca="1"/>
        <v>#NAME?</v>
      </c>
      <c r="I26" t="e">
        <f ca="1"/>
        <v>#NAME?</v>
      </c>
      <c r="J26" t="e">
        <f ca="1"/>
        <v>#NAME?</v>
      </c>
      <c r="K26" t="e">
        <f ca="1"/>
        <v>#NAME?</v>
      </c>
      <c r="L26" t="e">
        <f ca="1"/>
        <v>#NAME?</v>
      </c>
      <c r="M26" t="e">
        <f ca="1"/>
        <v>#NAME?</v>
      </c>
      <c r="N26" t="e">
        <f ca="1"/>
        <v>#NAME?</v>
      </c>
      <c r="O26" t="e">
        <f ca="1"/>
        <v>#NAME?</v>
      </c>
      <c r="P26" t="e">
        <f ca="1"/>
        <v>#NAME?</v>
      </c>
      <c r="Q26" t="e">
        <f ca="1"/>
        <v>#NAME?</v>
      </c>
    </row>
    <row r="27" spans="1:17">
      <c r="A27" t="e">
        <f ca="1"/>
        <v>#NAME?</v>
      </c>
      <c r="B27" t="e">
        <f ca="1"/>
        <v>#NAME?</v>
      </c>
      <c r="C27" t="e">
        <f ca="1"/>
        <v>#NAME?</v>
      </c>
      <c r="D27" t="e">
        <f ca="1"/>
        <v>#NAME?</v>
      </c>
      <c r="E27" t="e">
        <f ca="1"/>
        <v>#NAME?</v>
      </c>
      <c r="F27" t="e">
        <f ca="1"/>
        <v>#NAME?</v>
      </c>
      <c r="G27" t="e">
        <f ca="1"/>
        <v>#NAME?</v>
      </c>
      <c r="H27" t="e">
        <f ca="1"/>
        <v>#NAME?</v>
      </c>
      <c r="I27" t="e">
        <f ca="1"/>
        <v>#NAME?</v>
      </c>
      <c r="J27" t="e">
        <f ca="1"/>
        <v>#NAME?</v>
      </c>
      <c r="K27" t="e">
        <f ca="1"/>
        <v>#NAME?</v>
      </c>
      <c r="L27" t="e">
        <f ca="1"/>
        <v>#NAME?</v>
      </c>
      <c r="M27" t="e">
        <f ca="1"/>
        <v>#NAME?</v>
      </c>
      <c r="N27" t="e">
        <f ca="1"/>
        <v>#NAME?</v>
      </c>
      <c r="O27" t="e">
        <f ca="1"/>
        <v>#NAME?</v>
      </c>
      <c r="P27" t="e">
        <f ca="1"/>
        <v>#NAME?</v>
      </c>
      <c r="Q27" t="e">
        <f ca="1"/>
        <v>#NAME?</v>
      </c>
    </row>
    <row r="28" spans="1:17">
      <c r="A28" t="e">
        <f ca="1"/>
        <v>#NAME?</v>
      </c>
      <c r="B28" t="e">
        <f ca="1"/>
        <v>#NAME?</v>
      </c>
      <c r="C28" t="e">
        <f ca="1"/>
        <v>#NAME?</v>
      </c>
      <c r="D28" t="e">
        <f ca="1"/>
        <v>#NAME?</v>
      </c>
      <c r="E28" t="e">
        <f ca="1"/>
        <v>#NAME?</v>
      </c>
      <c r="F28" t="e">
        <f ca="1"/>
        <v>#NAME?</v>
      </c>
      <c r="G28" t="e">
        <f ca="1"/>
        <v>#NAME?</v>
      </c>
      <c r="H28" t="e">
        <f ca="1"/>
        <v>#NAME?</v>
      </c>
      <c r="I28" t="e">
        <f ca="1"/>
        <v>#NAME?</v>
      </c>
      <c r="J28" t="e">
        <f ca="1"/>
        <v>#NAME?</v>
      </c>
      <c r="K28" t="e">
        <f ca="1"/>
        <v>#NAME?</v>
      </c>
      <c r="L28" t="e">
        <f ca="1"/>
        <v>#NAME?</v>
      </c>
      <c r="M28" t="e">
        <f ca="1"/>
        <v>#NAME?</v>
      </c>
      <c r="N28" t="e">
        <f ca="1"/>
        <v>#NAME?</v>
      </c>
      <c r="O28" t="e">
        <f ca="1"/>
        <v>#NAME?</v>
      </c>
      <c r="P28" t="e">
        <f ca="1"/>
        <v>#NAME?</v>
      </c>
      <c r="Q28" t="e">
        <f ca="1"/>
        <v>#NAME?</v>
      </c>
    </row>
    <row r="29" spans="1:17">
      <c r="A29" t="e">
        <f ca="1"/>
        <v>#NAME?</v>
      </c>
      <c r="B29" t="e">
        <f ca="1"/>
        <v>#NAME?</v>
      </c>
      <c r="C29" t="e">
        <f ca="1"/>
        <v>#NAME?</v>
      </c>
      <c r="D29" t="e">
        <f ca="1"/>
        <v>#NAME?</v>
      </c>
      <c r="E29" t="e">
        <f ca="1"/>
        <v>#NAME?</v>
      </c>
      <c r="F29" t="e">
        <f ca="1"/>
        <v>#NAME?</v>
      </c>
      <c r="G29" t="e">
        <f ca="1"/>
        <v>#NAME?</v>
      </c>
      <c r="H29" t="e">
        <f ca="1"/>
        <v>#NAME?</v>
      </c>
      <c r="I29" t="e">
        <f ca="1"/>
        <v>#NAME?</v>
      </c>
      <c r="J29" t="e">
        <f ca="1"/>
        <v>#NAME?</v>
      </c>
      <c r="K29" t="e">
        <f ca="1"/>
        <v>#NAME?</v>
      </c>
      <c r="L29" t="e">
        <f ca="1"/>
        <v>#NAME?</v>
      </c>
      <c r="M29" t="e">
        <f ca="1"/>
        <v>#NAME?</v>
      </c>
      <c r="N29" t="e">
        <f ca="1"/>
        <v>#NAME?</v>
      </c>
      <c r="O29" t="e">
        <f ca="1"/>
        <v>#NAME?</v>
      </c>
      <c r="P29" t="e">
        <f ca="1"/>
        <v>#NAME?</v>
      </c>
      <c r="Q29" t="e">
        <f ca="1"/>
        <v>#NAME?</v>
      </c>
    </row>
    <row r="30" spans="1:17">
      <c r="A30" t="e">
        <f ca="1"/>
        <v>#NAME?</v>
      </c>
      <c r="B30" t="e">
        <f ca="1"/>
        <v>#NAME?</v>
      </c>
      <c r="C30" t="e">
        <f ca="1"/>
        <v>#NAME?</v>
      </c>
      <c r="D30" t="e">
        <f ca="1"/>
        <v>#NAME?</v>
      </c>
      <c r="E30" t="e">
        <f ca="1"/>
        <v>#NAME?</v>
      </c>
      <c r="F30" t="e">
        <f ca="1"/>
        <v>#NAME?</v>
      </c>
      <c r="G30" t="e">
        <f ca="1"/>
        <v>#NAME?</v>
      </c>
      <c r="H30" t="e">
        <f ca="1"/>
        <v>#NAME?</v>
      </c>
      <c r="I30" t="e">
        <f ca="1"/>
        <v>#NAME?</v>
      </c>
      <c r="J30" t="e">
        <f ca="1"/>
        <v>#NAME?</v>
      </c>
      <c r="K30" t="e">
        <f ca="1"/>
        <v>#NAME?</v>
      </c>
      <c r="L30" t="e">
        <f ca="1"/>
        <v>#NAME?</v>
      </c>
      <c r="M30" t="e">
        <f ca="1"/>
        <v>#NAME?</v>
      </c>
      <c r="N30" t="e">
        <f ca="1"/>
        <v>#NAME?</v>
      </c>
      <c r="O30" t="e">
        <f ca="1"/>
        <v>#NAME?</v>
      </c>
      <c r="P30" t="e">
        <f ca="1"/>
        <v>#NAME?</v>
      </c>
      <c r="Q30" t="e">
        <f ca="1"/>
        <v>#NAME?</v>
      </c>
    </row>
    <row r="31" spans="1:17">
      <c r="A31" t="e">
        <f ca="1"/>
        <v>#NAME?</v>
      </c>
      <c r="B31" t="e">
        <f ca="1"/>
        <v>#NAME?</v>
      </c>
      <c r="C31" t="e">
        <f ca="1"/>
        <v>#NAME?</v>
      </c>
      <c r="D31" t="e">
        <f ca="1"/>
        <v>#NAME?</v>
      </c>
      <c r="E31" t="e">
        <f ca="1"/>
        <v>#NAME?</v>
      </c>
      <c r="F31" t="e">
        <f ca="1"/>
        <v>#NAME?</v>
      </c>
      <c r="G31" t="e">
        <f ca="1"/>
        <v>#NAME?</v>
      </c>
      <c r="H31" t="e">
        <f ca="1"/>
        <v>#NAME?</v>
      </c>
      <c r="I31" t="e">
        <f ca="1"/>
        <v>#NAME?</v>
      </c>
      <c r="J31" t="e">
        <f ca="1"/>
        <v>#NAME?</v>
      </c>
      <c r="K31" t="e">
        <f ca="1"/>
        <v>#NAME?</v>
      </c>
      <c r="L31" t="e">
        <f ca="1"/>
        <v>#NAME?</v>
      </c>
      <c r="M31" t="e">
        <f ca="1"/>
        <v>#NAME?</v>
      </c>
      <c r="N31" t="e">
        <f ca="1"/>
        <v>#NAME?</v>
      </c>
      <c r="O31" t="e">
        <f ca="1"/>
        <v>#NAME?</v>
      </c>
      <c r="P31" t="e">
        <f ca="1"/>
        <v>#NAME?</v>
      </c>
      <c r="Q31" t="e">
        <f ca="1"/>
        <v>#NAME?</v>
      </c>
    </row>
    <row r="32" spans="1:17">
      <c r="A32" t="e">
        <f ca="1"/>
        <v>#NAME?</v>
      </c>
      <c r="B32" t="e">
        <f ca="1"/>
        <v>#NAME?</v>
      </c>
      <c r="C32" t="e">
        <f ca="1"/>
        <v>#NAME?</v>
      </c>
      <c r="D32" t="e">
        <f ca="1"/>
        <v>#NAME?</v>
      </c>
      <c r="E32" t="e">
        <f ca="1"/>
        <v>#NAME?</v>
      </c>
      <c r="F32" t="e">
        <f ca="1"/>
        <v>#NAME?</v>
      </c>
      <c r="G32" t="e">
        <f ca="1"/>
        <v>#NAME?</v>
      </c>
      <c r="H32" t="e">
        <f ca="1"/>
        <v>#NAME?</v>
      </c>
      <c r="I32" t="e">
        <f ca="1"/>
        <v>#NAME?</v>
      </c>
      <c r="J32" t="e">
        <f ca="1"/>
        <v>#NAME?</v>
      </c>
      <c r="K32" t="e">
        <f ca="1"/>
        <v>#NAME?</v>
      </c>
      <c r="L32" t="e">
        <f ca="1"/>
        <v>#NAME?</v>
      </c>
      <c r="M32" t="e">
        <f ca="1"/>
        <v>#NAME?</v>
      </c>
      <c r="N32" t="e">
        <f ca="1"/>
        <v>#NAME?</v>
      </c>
      <c r="O32" t="e">
        <f ca="1"/>
        <v>#NAME?</v>
      </c>
      <c r="P32" t="e">
        <f ca="1"/>
        <v>#NAME?</v>
      </c>
      <c r="Q32" t="e">
        <f ca="1"/>
        <v>#NAME?</v>
      </c>
    </row>
    <row r="33" spans="1:17">
      <c r="A33" t="e">
        <f ca="1"/>
        <v>#NAME?</v>
      </c>
      <c r="B33" t="e">
        <f ca="1"/>
        <v>#NAME?</v>
      </c>
      <c r="C33" t="e">
        <f ca="1"/>
        <v>#NAME?</v>
      </c>
      <c r="D33" t="e">
        <f ca="1"/>
        <v>#NAME?</v>
      </c>
      <c r="E33" t="e">
        <f ca="1"/>
        <v>#NAME?</v>
      </c>
      <c r="F33" t="e">
        <f ca="1"/>
        <v>#NAME?</v>
      </c>
      <c r="G33" t="e">
        <f ca="1"/>
        <v>#NAME?</v>
      </c>
      <c r="H33" t="e">
        <f ca="1"/>
        <v>#NAME?</v>
      </c>
      <c r="I33" t="e">
        <f ca="1"/>
        <v>#NAME?</v>
      </c>
      <c r="J33" t="e">
        <f ca="1"/>
        <v>#NAME?</v>
      </c>
      <c r="K33" t="e">
        <f ca="1"/>
        <v>#NAME?</v>
      </c>
      <c r="L33" t="e">
        <f ca="1"/>
        <v>#NAME?</v>
      </c>
      <c r="M33" t="e">
        <f ca="1"/>
        <v>#NAME?</v>
      </c>
      <c r="N33" t="e">
        <f ca="1"/>
        <v>#NAME?</v>
      </c>
      <c r="O33" t="e">
        <f ca="1"/>
        <v>#NAME?</v>
      </c>
      <c r="P33" t="e">
        <f ca="1"/>
        <v>#NAME?</v>
      </c>
      <c r="Q33" t="e">
        <f ca="1"/>
        <v>#NAME?</v>
      </c>
    </row>
    <row r="34" spans="1:17">
      <c r="A34" t="e">
        <f ca="1"/>
        <v>#NAME?</v>
      </c>
      <c r="B34" t="e">
        <f ca="1"/>
        <v>#NAME?</v>
      </c>
      <c r="C34" t="e">
        <f ca="1"/>
        <v>#NAME?</v>
      </c>
      <c r="D34" t="e">
        <f ca="1"/>
        <v>#NAME?</v>
      </c>
      <c r="E34" t="e">
        <f ca="1"/>
        <v>#NAME?</v>
      </c>
      <c r="F34" t="e">
        <f ca="1"/>
        <v>#NAME?</v>
      </c>
      <c r="G34" t="e">
        <f ca="1"/>
        <v>#NAME?</v>
      </c>
      <c r="H34" t="e">
        <f ca="1"/>
        <v>#NAME?</v>
      </c>
      <c r="I34" t="e">
        <f ca="1"/>
        <v>#NAME?</v>
      </c>
      <c r="J34" t="e">
        <f ca="1"/>
        <v>#NAME?</v>
      </c>
      <c r="K34" t="e">
        <f ca="1"/>
        <v>#NAME?</v>
      </c>
      <c r="L34" t="e">
        <f ca="1"/>
        <v>#NAME?</v>
      </c>
      <c r="M34" t="e">
        <f ca="1"/>
        <v>#NAME?</v>
      </c>
      <c r="N34" t="e">
        <f ca="1"/>
        <v>#NAME?</v>
      </c>
      <c r="O34" t="e">
        <f ca="1"/>
        <v>#NAME?</v>
      </c>
      <c r="P34" t="e">
        <f ca="1"/>
        <v>#NAME?</v>
      </c>
      <c r="Q34" t="e">
        <f ca="1"/>
        <v>#NAME?</v>
      </c>
    </row>
    <row r="35" spans="1:17">
      <c r="A35" t="e">
        <f ca="1"/>
        <v>#NAME?</v>
      </c>
      <c r="B35" t="e">
        <f ca="1"/>
        <v>#NAME?</v>
      </c>
      <c r="C35" t="e">
        <f ca="1"/>
        <v>#NAME?</v>
      </c>
      <c r="D35" t="e">
        <f ca="1"/>
        <v>#NAME?</v>
      </c>
      <c r="E35" t="e">
        <f ca="1"/>
        <v>#NAME?</v>
      </c>
      <c r="F35" t="e">
        <f ca="1"/>
        <v>#NAME?</v>
      </c>
      <c r="G35" t="e">
        <f ca="1"/>
        <v>#NAME?</v>
      </c>
      <c r="H35" t="e">
        <f ca="1"/>
        <v>#NAME?</v>
      </c>
      <c r="I35" t="e">
        <f ca="1"/>
        <v>#NAME?</v>
      </c>
      <c r="J35" t="e">
        <f ca="1"/>
        <v>#NAME?</v>
      </c>
      <c r="K35" t="e">
        <f ca="1"/>
        <v>#NAME?</v>
      </c>
      <c r="L35" t="e">
        <f ca="1"/>
        <v>#NAME?</v>
      </c>
      <c r="M35" t="e">
        <f ca="1"/>
        <v>#NAME?</v>
      </c>
      <c r="N35" t="e">
        <f ca="1"/>
        <v>#NAME?</v>
      </c>
      <c r="O35" t="e">
        <f ca="1"/>
        <v>#NAME?</v>
      </c>
      <c r="P35" t="e">
        <f ca="1"/>
        <v>#NAME?</v>
      </c>
      <c r="Q35" t="e">
        <f ca="1"/>
        <v>#NAME?</v>
      </c>
    </row>
    <row r="36" spans="1:17">
      <c r="A36" t="e">
        <f ca="1"/>
        <v>#NAME?</v>
      </c>
      <c r="B36" t="e">
        <f ca="1"/>
        <v>#NAME?</v>
      </c>
      <c r="C36" t="e">
        <f ca="1"/>
        <v>#NAME?</v>
      </c>
      <c r="D36" t="e">
        <f ca="1"/>
        <v>#NAME?</v>
      </c>
      <c r="E36" t="e">
        <f ca="1"/>
        <v>#NAME?</v>
      </c>
      <c r="F36" t="e">
        <f ca="1"/>
        <v>#NAME?</v>
      </c>
      <c r="G36" t="e">
        <f ca="1"/>
        <v>#NAME?</v>
      </c>
      <c r="H36" t="e">
        <f ca="1"/>
        <v>#NAME?</v>
      </c>
      <c r="I36" t="e">
        <f ca="1"/>
        <v>#NAME?</v>
      </c>
      <c r="J36" t="e">
        <f ca="1"/>
        <v>#NAME?</v>
      </c>
      <c r="K36" t="e">
        <f ca="1"/>
        <v>#NAME?</v>
      </c>
      <c r="L36" t="e">
        <f ca="1"/>
        <v>#NAME?</v>
      </c>
      <c r="M36" t="e">
        <f ca="1"/>
        <v>#NAME?</v>
      </c>
      <c r="N36" t="e">
        <f ca="1"/>
        <v>#NAME?</v>
      </c>
      <c r="O36" t="e">
        <f ca="1"/>
        <v>#NAME?</v>
      </c>
      <c r="P36" t="e">
        <f ca="1"/>
        <v>#NAME?</v>
      </c>
      <c r="Q36" t="e">
        <f ca="1"/>
        <v>#NAME?</v>
      </c>
    </row>
    <row r="37" spans="1:17">
      <c r="A37" t="e">
        <f ca="1"/>
        <v>#NAME?</v>
      </c>
      <c r="B37" t="e">
        <f ca="1"/>
        <v>#NAME?</v>
      </c>
      <c r="C37" t="e">
        <f ca="1"/>
        <v>#NAME?</v>
      </c>
      <c r="D37" t="e">
        <f ca="1"/>
        <v>#NAME?</v>
      </c>
      <c r="E37" t="e">
        <f ca="1"/>
        <v>#NAME?</v>
      </c>
      <c r="F37" t="e">
        <f ca="1"/>
        <v>#NAME?</v>
      </c>
      <c r="G37" t="e">
        <f ca="1"/>
        <v>#NAME?</v>
      </c>
      <c r="H37" t="e">
        <f ca="1"/>
        <v>#NAME?</v>
      </c>
      <c r="I37" t="e">
        <f ca="1"/>
        <v>#NAME?</v>
      </c>
      <c r="J37" t="e">
        <f ca="1"/>
        <v>#NAME?</v>
      </c>
      <c r="K37" t="e">
        <f ca="1"/>
        <v>#NAME?</v>
      </c>
      <c r="L37" t="e">
        <f ca="1"/>
        <v>#NAME?</v>
      </c>
      <c r="M37" t="e">
        <f ca="1"/>
        <v>#NAME?</v>
      </c>
      <c r="N37" t="e">
        <f ca="1"/>
        <v>#NAME?</v>
      </c>
      <c r="O37" t="e">
        <f ca="1"/>
        <v>#NAME?</v>
      </c>
      <c r="P37" t="e">
        <f ca="1"/>
        <v>#NAME?</v>
      </c>
      <c r="Q37" t="e">
        <f ca="1"/>
        <v>#NAME?</v>
      </c>
    </row>
    <row r="38" spans="1:17">
      <c r="A38" t="e">
        <f ca="1"/>
        <v>#NAME?</v>
      </c>
      <c r="B38" t="e">
        <f ca="1"/>
        <v>#NAME?</v>
      </c>
      <c r="C38" t="e">
        <f ca="1"/>
        <v>#NAME?</v>
      </c>
      <c r="D38" t="e">
        <f ca="1"/>
        <v>#NAME?</v>
      </c>
      <c r="E38" t="e">
        <f ca="1"/>
        <v>#NAME?</v>
      </c>
      <c r="F38" t="e">
        <f ca="1"/>
        <v>#NAME?</v>
      </c>
      <c r="G38" t="e">
        <f ca="1"/>
        <v>#NAME?</v>
      </c>
      <c r="H38" t="e">
        <f ca="1"/>
        <v>#NAME?</v>
      </c>
      <c r="I38" t="e">
        <f ca="1"/>
        <v>#NAME?</v>
      </c>
      <c r="J38" t="e">
        <f ca="1"/>
        <v>#NAME?</v>
      </c>
      <c r="K38" t="e">
        <f ca="1"/>
        <v>#NAME?</v>
      </c>
      <c r="L38" t="e">
        <f ca="1"/>
        <v>#NAME?</v>
      </c>
      <c r="M38" t="e">
        <f ca="1"/>
        <v>#NAME?</v>
      </c>
      <c r="N38" t="e">
        <f ca="1"/>
        <v>#NAME?</v>
      </c>
      <c r="O38" t="e">
        <f ca="1"/>
        <v>#NAME?</v>
      </c>
      <c r="P38" t="e">
        <f ca="1"/>
        <v>#NAME?</v>
      </c>
      <c r="Q38" t="e">
        <f ca="1"/>
        <v>#NAME?</v>
      </c>
    </row>
    <row r="39" spans="1:17">
      <c r="A39" t="e">
        <f ca="1"/>
        <v>#NAME?</v>
      </c>
      <c r="B39" t="e">
        <f ca="1"/>
        <v>#NAME?</v>
      </c>
      <c r="C39" t="e">
        <f ca="1"/>
        <v>#NAME?</v>
      </c>
      <c r="D39" t="e">
        <f ca="1"/>
        <v>#NAME?</v>
      </c>
      <c r="E39" t="e">
        <f ca="1"/>
        <v>#NAME?</v>
      </c>
      <c r="F39" t="e">
        <f ca="1"/>
        <v>#NAME?</v>
      </c>
      <c r="G39" t="e">
        <f ca="1"/>
        <v>#NAME?</v>
      </c>
      <c r="H39" t="e">
        <f ca="1"/>
        <v>#NAME?</v>
      </c>
      <c r="I39" t="e">
        <f ca="1"/>
        <v>#NAME?</v>
      </c>
      <c r="J39" t="e">
        <f ca="1"/>
        <v>#NAME?</v>
      </c>
      <c r="K39" t="e">
        <f ca="1"/>
        <v>#NAME?</v>
      </c>
      <c r="L39" t="e">
        <f ca="1"/>
        <v>#NAME?</v>
      </c>
      <c r="M39" t="e">
        <f ca="1"/>
        <v>#NAME?</v>
      </c>
      <c r="N39" t="e">
        <f ca="1"/>
        <v>#NAME?</v>
      </c>
      <c r="O39" t="e">
        <f ca="1"/>
        <v>#NAME?</v>
      </c>
      <c r="P39" t="e">
        <f ca="1"/>
        <v>#NAME?</v>
      </c>
      <c r="Q39" t="e">
        <f ca="1"/>
        <v>#NAME?</v>
      </c>
    </row>
    <row r="40" spans="1:17">
      <c r="A40" t="e">
        <f ca="1"/>
        <v>#NAME?</v>
      </c>
      <c r="B40" t="e">
        <f ca="1"/>
        <v>#NAME?</v>
      </c>
      <c r="C40" t="e">
        <f ca="1"/>
        <v>#NAME?</v>
      </c>
      <c r="D40" t="e">
        <f ca="1"/>
        <v>#NAME?</v>
      </c>
      <c r="E40" t="e">
        <f ca="1"/>
        <v>#NAME?</v>
      </c>
      <c r="F40" t="e">
        <f ca="1"/>
        <v>#NAME?</v>
      </c>
      <c r="G40" t="e">
        <f ca="1"/>
        <v>#NAME?</v>
      </c>
      <c r="H40" t="e">
        <f ca="1"/>
        <v>#NAME?</v>
      </c>
      <c r="I40" t="e">
        <f ca="1"/>
        <v>#NAME?</v>
      </c>
      <c r="J40" t="e">
        <f ca="1"/>
        <v>#NAME?</v>
      </c>
      <c r="K40" t="e">
        <f ca="1"/>
        <v>#NAME?</v>
      </c>
      <c r="L40" t="e">
        <f ca="1"/>
        <v>#NAME?</v>
      </c>
      <c r="M40" t="e">
        <f ca="1"/>
        <v>#NAME?</v>
      </c>
      <c r="N40" t="e">
        <f ca="1"/>
        <v>#NAME?</v>
      </c>
      <c r="O40" t="e">
        <f ca="1"/>
        <v>#NAME?</v>
      </c>
      <c r="P40" t="e">
        <f ca="1"/>
        <v>#NAME?</v>
      </c>
      <c r="Q40" t="e">
        <f ca="1"/>
        <v>#NAME?</v>
      </c>
    </row>
    <row r="41" spans="1:17">
      <c r="A41" t="e">
        <f ca="1"/>
        <v>#NAME?</v>
      </c>
      <c r="B41" t="e">
        <f ca="1"/>
        <v>#NAME?</v>
      </c>
      <c r="C41" t="e">
        <f ca="1"/>
        <v>#NAME?</v>
      </c>
      <c r="D41" t="e">
        <f ca="1"/>
        <v>#NAME?</v>
      </c>
      <c r="E41" t="e">
        <f ca="1"/>
        <v>#NAME?</v>
      </c>
      <c r="F41" t="e">
        <f ca="1"/>
        <v>#NAME?</v>
      </c>
      <c r="G41" t="e">
        <f ca="1"/>
        <v>#NAME?</v>
      </c>
      <c r="H41" t="e">
        <f ca="1"/>
        <v>#NAME?</v>
      </c>
      <c r="I41" t="e">
        <f ca="1"/>
        <v>#NAME?</v>
      </c>
      <c r="J41" t="e">
        <f ca="1"/>
        <v>#NAME?</v>
      </c>
      <c r="K41" t="e">
        <f ca="1"/>
        <v>#NAME?</v>
      </c>
      <c r="L41" t="e">
        <f ca="1"/>
        <v>#NAME?</v>
      </c>
      <c r="M41" t="e">
        <f ca="1"/>
        <v>#NAME?</v>
      </c>
      <c r="N41" t="e">
        <f ca="1"/>
        <v>#NAME?</v>
      </c>
      <c r="O41" t="e">
        <f ca="1"/>
        <v>#NAME?</v>
      </c>
      <c r="P41" t="e">
        <f ca="1"/>
        <v>#NAME?</v>
      </c>
      <c r="Q41" t="e">
        <f ca="1"/>
        <v>#NAME?</v>
      </c>
    </row>
    <row r="42" spans="1:17">
      <c r="A42" t="e">
        <f ca="1"/>
        <v>#NAME?</v>
      </c>
      <c r="B42" t="e">
        <f ca="1"/>
        <v>#NAME?</v>
      </c>
      <c r="C42" t="e">
        <f ca="1"/>
        <v>#NAME?</v>
      </c>
      <c r="D42" t="e">
        <f ca="1"/>
        <v>#NAME?</v>
      </c>
      <c r="E42" t="e">
        <f ca="1"/>
        <v>#NAME?</v>
      </c>
      <c r="F42" t="e">
        <f ca="1"/>
        <v>#NAME?</v>
      </c>
      <c r="G42" t="e">
        <f ca="1"/>
        <v>#NAME?</v>
      </c>
      <c r="H42" t="e">
        <f ca="1"/>
        <v>#NAME?</v>
      </c>
      <c r="I42" t="e">
        <f ca="1"/>
        <v>#NAME?</v>
      </c>
      <c r="J42" t="e">
        <f ca="1"/>
        <v>#NAME?</v>
      </c>
      <c r="K42" t="e">
        <f ca="1"/>
        <v>#NAME?</v>
      </c>
      <c r="L42" t="e">
        <f ca="1"/>
        <v>#NAME?</v>
      </c>
      <c r="M42" t="e">
        <f ca="1"/>
        <v>#NAME?</v>
      </c>
      <c r="N42" t="e">
        <f ca="1"/>
        <v>#NAME?</v>
      </c>
      <c r="O42" t="e">
        <f ca="1"/>
        <v>#NAME?</v>
      </c>
      <c r="P42" t="e">
        <f ca="1"/>
        <v>#NAME?</v>
      </c>
      <c r="Q42" t="e">
        <f ca="1"/>
        <v>#NAME?</v>
      </c>
    </row>
    <row r="43" spans="1:17">
      <c r="A43" t="e">
        <f ca="1"/>
        <v>#NAME?</v>
      </c>
      <c r="B43" t="e">
        <f ca="1"/>
        <v>#NAME?</v>
      </c>
      <c r="C43" t="e">
        <f ca="1"/>
        <v>#NAME?</v>
      </c>
      <c r="D43" t="e">
        <f ca="1"/>
        <v>#NAME?</v>
      </c>
      <c r="E43" t="e">
        <f ca="1"/>
        <v>#NAME?</v>
      </c>
      <c r="F43" t="e">
        <f ca="1"/>
        <v>#NAME?</v>
      </c>
      <c r="G43" t="e">
        <f ca="1"/>
        <v>#NAME?</v>
      </c>
      <c r="H43" t="e">
        <f ca="1"/>
        <v>#NAME?</v>
      </c>
      <c r="I43" t="e">
        <f ca="1"/>
        <v>#NAME?</v>
      </c>
      <c r="J43" t="e">
        <f ca="1"/>
        <v>#NAME?</v>
      </c>
      <c r="K43" t="e">
        <f ca="1"/>
        <v>#NAME?</v>
      </c>
      <c r="L43" t="e">
        <f ca="1"/>
        <v>#NAME?</v>
      </c>
      <c r="M43" t="e">
        <f ca="1"/>
        <v>#NAME?</v>
      </c>
      <c r="N43" t="e">
        <f ca="1"/>
        <v>#NAME?</v>
      </c>
      <c r="O43" t="e">
        <f ca="1"/>
        <v>#NAME?</v>
      </c>
      <c r="P43" t="e">
        <f ca="1"/>
        <v>#NAME?</v>
      </c>
      <c r="Q43" t="e">
        <f ca="1"/>
        <v>#NAME?</v>
      </c>
    </row>
    <row r="44" spans="1:17">
      <c r="A44" t="e">
        <f ca="1"/>
        <v>#NAME?</v>
      </c>
      <c r="B44" t="e">
        <f ca="1"/>
        <v>#NAME?</v>
      </c>
      <c r="C44" t="e">
        <f ca="1"/>
        <v>#NAME?</v>
      </c>
      <c r="D44" t="e">
        <f ca="1"/>
        <v>#NAME?</v>
      </c>
      <c r="E44" t="e">
        <f ca="1"/>
        <v>#NAME?</v>
      </c>
      <c r="F44" t="e">
        <f ca="1"/>
        <v>#NAME?</v>
      </c>
      <c r="G44" t="e">
        <f ca="1"/>
        <v>#NAME?</v>
      </c>
      <c r="H44" t="e">
        <f ca="1"/>
        <v>#NAME?</v>
      </c>
      <c r="I44" t="e">
        <f ca="1"/>
        <v>#NAME?</v>
      </c>
      <c r="J44" t="e">
        <f ca="1"/>
        <v>#NAME?</v>
      </c>
      <c r="K44" t="e">
        <f ca="1"/>
        <v>#NAME?</v>
      </c>
      <c r="L44" t="e">
        <f ca="1"/>
        <v>#NAME?</v>
      </c>
      <c r="M44" t="e">
        <f ca="1"/>
        <v>#NAME?</v>
      </c>
      <c r="N44" t="e">
        <f ca="1"/>
        <v>#NAME?</v>
      </c>
      <c r="O44" t="e">
        <f ca="1"/>
        <v>#NAME?</v>
      </c>
      <c r="P44" t="e">
        <f ca="1"/>
        <v>#NAME?</v>
      </c>
      <c r="Q44" t="e">
        <f ca="1"/>
        <v>#NAME?</v>
      </c>
    </row>
    <row r="45" spans="1:17">
      <c r="A45" t="e">
        <f ca="1"/>
        <v>#NAME?</v>
      </c>
      <c r="B45" t="e">
        <f ca="1"/>
        <v>#NAME?</v>
      </c>
      <c r="C45" t="e">
        <f ca="1"/>
        <v>#NAME?</v>
      </c>
      <c r="D45" t="e">
        <f ca="1"/>
        <v>#NAME?</v>
      </c>
      <c r="E45" t="e">
        <f ca="1"/>
        <v>#NAME?</v>
      </c>
      <c r="F45" t="e">
        <f ca="1"/>
        <v>#NAME?</v>
      </c>
      <c r="G45" t="e">
        <f ca="1"/>
        <v>#NAME?</v>
      </c>
      <c r="H45" t="e">
        <f ca="1"/>
        <v>#NAME?</v>
      </c>
      <c r="I45" t="e">
        <f ca="1"/>
        <v>#NAME?</v>
      </c>
      <c r="J45" t="e">
        <f ca="1"/>
        <v>#NAME?</v>
      </c>
      <c r="K45" t="e">
        <f ca="1"/>
        <v>#NAME?</v>
      </c>
      <c r="L45" t="e">
        <f ca="1"/>
        <v>#NAME?</v>
      </c>
      <c r="M45" t="e">
        <f ca="1"/>
        <v>#NAME?</v>
      </c>
      <c r="N45" t="e">
        <f ca="1"/>
        <v>#NAME?</v>
      </c>
      <c r="O45" t="e">
        <f ca="1"/>
        <v>#NAME?</v>
      </c>
      <c r="P45" t="e">
        <f ca="1"/>
        <v>#NAME?</v>
      </c>
      <c r="Q45" t="e">
        <f ca="1"/>
        <v>#NAME?</v>
      </c>
    </row>
    <row r="46" spans="1:17">
      <c r="A46" t="e">
        <f ca="1"/>
        <v>#NAME?</v>
      </c>
      <c r="B46" t="e">
        <f ca="1"/>
        <v>#NAME?</v>
      </c>
      <c r="C46" t="e">
        <f ca="1"/>
        <v>#NAME?</v>
      </c>
      <c r="D46" t="e">
        <f ca="1"/>
        <v>#NAME?</v>
      </c>
      <c r="E46" t="e">
        <f ca="1"/>
        <v>#NAME?</v>
      </c>
      <c r="F46" t="e">
        <f ca="1"/>
        <v>#NAME?</v>
      </c>
      <c r="G46" t="e">
        <f ca="1"/>
        <v>#NAME?</v>
      </c>
      <c r="H46" t="e">
        <f ca="1"/>
        <v>#NAME?</v>
      </c>
      <c r="I46" t="e">
        <f ca="1"/>
        <v>#NAME?</v>
      </c>
      <c r="J46" t="e">
        <f ca="1"/>
        <v>#NAME?</v>
      </c>
      <c r="K46" t="e">
        <f ca="1"/>
        <v>#NAME?</v>
      </c>
      <c r="L46" t="e">
        <f ca="1"/>
        <v>#NAME?</v>
      </c>
      <c r="M46" t="e">
        <f ca="1"/>
        <v>#NAME?</v>
      </c>
      <c r="N46" t="e">
        <f ca="1"/>
        <v>#NAME?</v>
      </c>
      <c r="O46" t="e">
        <f ca="1"/>
        <v>#NAME?</v>
      </c>
      <c r="P46" t="e">
        <f ca="1"/>
        <v>#NAME?</v>
      </c>
      <c r="Q46" t="e">
        <f ca="1"/>
        <v>#NAME?</v>
      </c>
    </row>
    <row r="47" spans="1:17">
      <c r="A47" t="e">
        <f ca="1"/>
        <v>#NAME?</v>
      </c>
      <c r="B47" t="e">
        <f ca="1"/>
        <v>#NAME?</v>
      </c>
      <c r="C47" t="e">
        <f ca="1"/>
        <v>#NAME?</v>
      </c>
      <c r="D47" t="e">
        <f ca="1"/>
        <v>#NAME?</v>
      </c>
      <c r="E47" t="e">
        <f ca="1"/>
        <v>#NAME?</v>
      </c>
      <c r="F47" t="e">
        <f ca="1"/>
        <v>#NAME?</v>
      </c>
      <c r="G47" t="e">
        <f ca="1"/>
        <v>#NAME?</v>
      </c>
      <c r="H47" t="e">
        <f ca="1"/>
        <v>#NAME?</v>
      </c>
      <c r="I47" t="e">
        <f ca="1"/>
        <v>#NAME?</v>
      </c>
      <c r="J47" t="e">
        <f ca="1"/>
        <v>#NAME?</v>
      </c>
      <c r="K47" t="e">
        <f ca="1"/>
        <v>#NAME?</v>
      </c>
      <c r="L47" t="e">
        <f ca="1"/>
        <v>#NAME?</v>
      </c>
      <c r="M47" t="e">
        <f ca="1"/>
        <v>#NAME?</v>
      </c>
      <c r="N47" t="e">
        <f ca="1"/>
        <v>#NAME?</v>
      </c>
      <c r="O47" t="e">
        <f ca="1"/>
        <v>#NAME?</v>
      </c>
      <c r="P47" t="e">
        <f ca="1"/>
        <v>#NAME?</v>
      </c>
      <c r="Q47" t="e">
        <f ca="1"/>
        <v>#NAME?</v>
      </c>
    </row>
    <row r="48" spans="1:17">
      <c r="A48" t="e">
        <f ca="1"/>
        <v>#NAME?</v>
      </c>
      <c r="B48" t="e">
        <f ca="1"/>
        <v>#NAME?</v>
      </c>
      <c r="C48" t="e">
        <f ca="1"/>
        <v>#NAME?</v>
      </c>
      <c r="D48" t="e">
        <f ca="1"/>
        <v>#NAME?</v>
      </c>
      <c r="E48" t="e">
        <f ca="1"/>
        <v>#NAME?</v>
      </c>
      <c r="F48" t="e">
        <f ca="1"/>
        <v>#NAME?</v>
      </c>
      <c r="G48" t="e">
        <f ca="1"/>
        <v>#NAME?</v>
      </c>
      <c r="H48" t="e">
        <f ca="1"/>
        <v>#NAME?</v>
      </c>
      <c r="I48" t="e">
        <f ca="1"/>
        <v>#NAME?</v>
      </c>
      <c r="J48" t="e">
        <f ca="1"/>
        <v>#NAME?</v>
      </c>
      <c r="K48" t="e">
        <f ca="1"/>
        <v>#NAME?</v>
      </c>
      <c r="L48" t="e">
        <f ca="1"/>
        <v>#NAME?</v>
      </c>
      <c r="M48" t="e">
        <f ca="1"/>
        <v>#NAME?</v>
      </c>
      <c r="N48" t="e">
        <f ca="1"/>
        <v>#NAME?</v>
      </c>
      <c r="O48" t="e">
        <f ca="1"/>
        <v>#NAME?</v>
      </c>
      <c r="P48" t="e">
        <f ca="1"/>
        <v>#NAME?</v>
      </c>
      <c r="Q48" t="e">
        <f ca="1"/>
        <v>#NAME?</v>
      </c>
    </row>
    <row r="49" spans="1:17">
      <c r="A49" t="e">
        <f ca="1"/>
        <v>#NAME?</v>
      </c>
      <c r="B49" t="e">
        <f ca="1"/>
        <v>#NAME?</v>
      </c>
      <c r="C49" t="e">
        <f ca="1"/>
        <v>#NAME?</v>
      </c>
      <c r="D49" t="e">
        <f ca="1"/>
        <v>#NAME?</v>
      </c>
      <c r="E49" t="e">
        <f ca="1"/>
        <v>#NAME?</v>
      </c>
      <c r="F49" t="e">
        <f ca="1"/>
        <v>#NAME?</v>
      </c>
      <c r="G49" t="e">
        <f ca="1"/>
        <v>#NAME?</v>
      </c>
      <c r="H49" t="e">
        <f ca="1"/>
        <v>#NAME?</v>
      </c>
      <c r="I49" t="e">
        <f ca="1"/>
        <v>#NAME?</v>
      </c>
      <c r="J49" t="e">
        <f ca="1"/>
        <v>#NAME?</v>
      </c>
      <c r="K49" t="e">
        <f ca="1"/>
        <v>#NAME?</v>
      </c>
      <c r="L49" t="e">
        <f ca="1"/>
        <v>#NAME?</v>
      </c>
      <c r="M49" t="e">
        <f ca="1"/>
        <v>#NAME?</v>
      </c>
      <c r="N49" t="e">
        <f ca="1"/>
        <v>#NAME?</v>
      </c>
      <c r="O49" t="e">
        <f ca="1"/>
        <v>#NAME?</v>
      </c>
      <c r="P49" t="e">
        <f ca="1"/>
        <v>#NAME?</v>
      </c>
      <c r="Q49" t="e">
        <f ca="1"/>
        <v>#NAME?</v>
      </c>
    </row>
    <row r="50" spans="1:17">
      <c r="A50" t="e">
        <f ca="1"/>
        <v>#NAME?</v>
      </c>
      <c r="B50" t="e">
        <f ca="1"/>
        <v>#NAME?</v>
      </c>
      <c r="C50" t="e">
        <f ca="1"/>
        <v>#NAME?</v>
      </c>
      <c r="D50" t="e">
        <f ca="1"/>
        <v>#NAME?</v>
      </c>
      <c r="E50" t="e">
        <f ca="1"/>
        <v>#NAME?</v>
      </c>
      <c r="F50" t="e">
        <f ca="1"/>
        <v>#NAME?</v>
      </c>
      <c r="G50" t="e">
        <f ca="1"/>
        <v>#NAME?</v>
      </c>
      <c r="H50" t="e">
        <f ca="1"/>
        <v>#NAME?</v>
      </c>
      <c r="I50" t="e">
        <f ca="1"/>
        <v>#NAME?</v>
      </c>
      <c r="J50" t="e">
        <f ca="1"/>
        <v>#NAME?</v>
      </c>
      <c r="K50" t="e">
        <f ca="1"/>
        <v>#NAME?</v>
      </c>
      <c r="L50" t="e">
        <f ca="1"/>
        <v>#NAME?</v>
      </c>
      <c r="M50" t="e">
        <f ca="1"/>
        <v>#NAME?</v>
      </c>
      <c r="N50" t="e">
        <f ca="1"/>
        <v>#NAME?</v>
      </c>
      <c r="O50" t="e">
        <f ca="1"/>
        <v>#NAME?</v>
      </c>
      <c r="P50" t="e">
        <f ca="1"/>
        <v>#NAME?</v>
      </c>
      <c r="Q50" t="e">
        <f ca="1"/>
        <v>#NAME?</v>
      </c>
    </row>
    <row r="51" spans="1:17">
      <c r="A51" t="e">
        <f ca="1"/>
        <v>#NAME?</v>
      </c>
      <c r="B51" t="e">
        <f ca="1"/>
        <v>#NAME?</v>
      </c>
      <c r="C51" t="e">
        <f ca="1"/>
        <v>#NAME?</v>
      </c>
      <c r="D51" t="e">
        <f ca="1"/>
        <v>#NAME?</v>
      </c>
      <c r="E51" t="e">
        <f ca="1"/>
        <v>#NAME?</v>
      </c>
      <c r="F51" t="e">
        <f ca="1"/>
        <v>#NAME?</v>
      </c>
      <c r="G51" t="e">
        <f ca="1"/>
        <v>#NAME?</v>
      </c>
      <c r="H51" t="e">
        <f ca="1"/>
        <v>#NAME?</v>
      </c>
      <c r="I51" t="e">
        <f ca="1"/>
        <v>#NAME?</v>
      </c>
      <c r="J51" t="e">
        <f ca="1"/>
        <v>#NAME?</v>
      </c>
      <c r="K51" t="e">
        <f ca="1"/>
        <v>#NAME?</v>
      </c>
      <c r="L51" t="e">
        <f ca="1"/>
        <v>#NAME?</v>
      </c>
      <c r="M51" t="e">
        <f ca="1"/>
        <v>#NAME?</v>
      </c>
      <c r="N51" t="e">
        <f ca="1"/>
        <v>#NAME?</v>
      </c>
      <c r="O51" t="e">
        <f ca="1"/>
        <v>#NAME?</v>
      </c>
      <c r="P51" t="e">
        <f ca="1"/>
        <v>#NAME?</v>
      </c>
      <c r="Q51" t="e">
        <f ca="1"/>
        <v>#NAME?</v>
      </c>
    </row>
    <row r="52" spans="1:17">
      <c r="A52" t="e">
        <f ca="1"/>
        <v>#NAME?</v>
      </c>
      <c r="B52" t="e">
        <f ca="1"/>
        <v>#NAME?</v>
      </c>
      <c r="C52" t="e">
        <f ca="1"/>
        <v>#NAME?</v>
      </c>
      <c r="D52" t="e">
        <f ca="1"/>
        <v>#NAME?</v>
      </c>
      <c r="E52" t="e">
        <f ca="1"/>
        <v>#NAME?</v>
      </c>
      <c r="F52" t="e">
        <f ca="1"/>
        <v>#NAME?</v>
      </c>
      <c r="G52" t="e">
        <f ca="1"/>
        <v>#NAME?</v>
      </c>
      <c r="H52" t="e">
        <f ca="1"/>
        <v>#NAME?</v>
      </c>
      <c r="I52" t="e">
        <f ca="1"/>
        <v>#NAME?</v>
      </c>
      <c r="J52" t="e">
        <f ca="1"/>
        <v>#NAME?</v>
      </c>
      <c r="K52" t="e">
        <f ca="1"/>
        <v>#NAME?</v>
      </c>
      <c r="L52" t="e">
        <f ca="1"/>
        <v>#NAME?</v>
      </c>
      <c r="M52" t="e">
        <f ca="1"/>
        <v>#NAME?</v>
      </c>
      <c r="N52" t="e">
        <f ca="1"/>
        <v>#NAME?</v>
      </c>
      <c r="O52" t="e">
        <f ca="1"/>
        <v>#NAME?</v>
      </c>
      <c r="P52" t="e">
        <f ca="1"/>
        <v>#NAME?</v>
      </c>
      <c r="Q52" t="e">
        <f ca="1"/>
        <v>#NAME?</v>
      </c>
    </row>
    <row r="53" spans="1:17">
      <c r="A53" t="e">
        <f ca="1"/>
        <v>#NAME?</v>
      </c>
      <c r="B53" t="e">
        <f ca="1"/>
        <v>#NAME?</v>
      </c>
      <c r="C53" t="e">
        <f ca="1"/>
        <v>#NAME?</v>
      </c>
      <c r="D53" t="e">
        <f ca="1"/>
        <v>#NAME?</v>
      </c>
      <c r="E53" t="e">
        <f ca="1"/>
        <v>#NAME?</v>
      </c>
      <c r="F53" t="e">
        <f ca="1"/>
        <v>#NAME?</v>
      </c>
      <c r="G53" t="e">
        <f ca="1"/>
        <v>#NAME?</v>
      </c>
      <c r="H53" t="e">
        <f ca="1"/>
        <v>#NAME?</v>
      </c>
      <c r="I53" t="e">
        <f ca="1"/>
        <v>#NAME?</v>
      </c>
      <c r="J53" t="e">
        <f ca="1"/>
        <v>#NAME?</v>
      </c>
      <c r="K53" t="e">
        <f ca="1"/>
        <v>#NAME?</v>
      </c>
      <c r="L53" t="e">
        <f ca="1"/>
        <v>#NAME?</v>
      </c>
      <c r="M53" t="e">
        <f ca="1"/>
        <v>#NAME?</v>
      </c>
      <c r="N53" t="e">
        <f ca="1"/>
        <v>#NAME?</v>
      </c>
      <c r="O53" t="e">
        <f ca="1"/>
        <v>#NAME?</v>
      </c>
      <c r="P53" t="e">
        <f ca="1"/>
        <v>#NAME?</v>
      </c>
      <c r="Q53" t="e">
        <f ca="1"/>
        <v>#NAME?</v>
      </c>
    </row>
    <row r="54" spans="1:17">
      <c r="A54" t="e">
        <f ca="1"/>
        <v>#NAME?</v>
      </c>
      <c r="B54" t="e">
        <f ca="1"/>
        <v>#NAME?</v>
      </c>
      <c r="C54" t="e">
        <f ca="1"/>
        <v>#NAME?</v>
      </c>
      <c r="D54" t="e">
        <f ca="1"/>
        <v>#NAME?</v>
      </c>
      <c r="E54" t="e">
        <f ca="1"/>
        <v>#NAME?</v>
      </c>
      <c r="F54" t="e">
        <f ca="1"/>
        <v>#NAME?</v>
      </c>
      <c r="G54" t="e">
        <f ca="1"/>
        <v>#NAME?</v>
      </c>
      <c r="H54" t="e">
        <f ca="1"/>
        <v>#NAME?</v>
      </c>
      <c r="I54" t="e">
        <f ca="1"/>
        <v>#NAME?</v>
      </c>
      <c r="J54" t="e">
        <f ca="1"/>
        <v>#NAME?</v>
      </c>
      <c r="K54" t="e">
        <f ca="1"/>
        <v>#NAME?</v>
      </c>
      <c r="L54" t="e">
        <f ca="1"/>
        <v>#NAME?</v>
      </c>
      <c r="M54" t="e">
        <f ca="1"/>
        <v>#NAME?</v>
      </c>
      <c r="N54" t="e">
        <f ca="1"/>
        <v>#NAME?</v>
      </c>
      <c r="O54" t="e">
        <f ca="1"/>
        <v>#NAME?</v>
      </c>
      <c r="P54" t="e">
        <f ca="1"/>
        <v>#NAME?</v>
      </c>
      <c r="Q54" t="e">
        <f ca="1"/>
        <v>#NAME?</v>
      </c>
    </row>
    <row r="55" spans="1:17">
      <c r="A55" t="e">
        <f ca="1"/>
        <v>#NAME?</v>
      </c>
      <c r="B55" t="e">
        <f ca="1"/>
        <v>#NAME?</v>
      </c>
      <c r="C55" t="e">
        <f ca="1"/>
        <v>#NAME?</v>
      </c>
      <c r="D55" t="e">
        <f ca="1"/>
        <v>#NAME?</v>
      </c>
      <c r="E55" t="e">
        <f ca="1"/>
        <v>#NAME?</v>
      </c>
      <c r="F55" t="e">
        <f ca="1"/>
        <v>#NAME?</v>
      </c>
      <c r="G55" t="e">
        <f ca="1"/>
        <v>#NAME?</v>
      </c>
      <c r="H55" t="e">
        <f ca="1"/>
        <v>#NAME?</v>
      </c>
      <c r="I55" t="e">
        <f ca="1"/>
        <v>#NAME?</v>
      </c>
      <c r="J55" t="e">
        <f ca="1"/>
        <v>#NAME?</v>
      </c>
      <c r="K55" t="e">
        <f ca="1"/>
        <v>#NAME?</v>
      </c>
      <c r="L55" t="e">
        <f ca="1"/>
        <v>#NAME?</v>
      </c>
      <c r="M55" t="e">
        <f ca="1"/>
        <v>#NAME?</v>
      </c>
      <c r="N55" t="e">
        <f ca="1"/>
        <v>#NAME?</v>
      </c>
      <c r="O55" t="e">
        <f ca="1"/>
        <v>#NAME?</v>
      </c>
      <c r="P55" t="e">
        <f ca="1"/>
        <v>#NAME?</v>
      </c>
      <c r="Q55" t="e">
        <f ca="1"/>
        <v>#NAME?</v>
      </c>
    </row>
    <row r="56" spans="1:17">
      <c r="A56" t="e">
        <f ca="1"/>
        <v>#NAME?</v>
      </c>
      <c r="B56" t="e">
        <f ca="1"/>
        <v>#NAME?</v>
      </c>
      <c r="C56" t="e">
        <f ca="1"/>
        <v>#NAME?</v>
      </c>
      <c r="D56" t="e">
        <f ca="1"/>
        <v>#NAME?</v>
      </c>
      <c r="E56" t="e">
        <f ca="1"/>
        <v>#NAME?</v>
      </c>
      <c r="F56" t="e">
        <f ca="1"/>
        <v>#NAME?</v>
      </c>
      <c r="G56" t="e">
        <f ca="1"/>
        <v>#NAME?</v>
      </c>
      <c r="H56" t="e">
        <f ca="1"/>
        <v>#NAME?</v>
      </c>
      <c r="I56" t="e">
        <f ca="1"/>
        <v>#NAME?</v>
      </c>
      <c r="J56" t="e">
        <f ca="1"/>
        <v>#NAME?</v>
      </c>
      <c r="K56" t="e">
        <f ca="1"/>
        <v>#NAME?</v>
      </c>
      <c r="L56" t="e">
        <f ca="1"/>
        <v>#NAME?</v>
      </c>
      <c r="M56" t="e">
        <f ca="1"/>
        <v>#NAME?</v>
      </c>
      <c r="N56" t="e">
        <f ca="1"/>
        <v>#NAME?</v>
      </c>
      <c r="O56" t="e">
        <f ca="1"/>
        <v>#NAME?</v>
      </c>
      <c r="P56" t="e">
        <f ca="1"/>
        <v>#NAME?</v>
      </c>
      <c r="Q56" t="e">
        <f ca="1"/>
        <v>#NAME?</v>
      </c>
    </row>
    <row r="57" spans="1:17">
      <c r="A57" t="e">
        <f ca="1"/>
        <v>#NAME?</v>
      </c>
      <c r="B57" t="e">
        <f ca="1"/>
        <v>#NAME?</v>
      </c>
      <c r="C57" t="e">
        <f ca="1"/>
        <v>#NAME?</v>
      </c>
      <c r="D57" t="e">
        <f ca="1"/>
        <v>#NAME?</v>
      </c>
      <c r="E57" t="e">
        <f ca="1"/>
        <v>#NAME?</v>
      </c>
      <c r="F57" t="e">
        <f ca="1"/>
        <v>#NAME?</v>
      </c>
      <c r="G57" t="e">
        <f ca="1"/>
        <v>#NAME?</v>
      </c>
      <c r="H57" t="e">
        <f ca="1"/>
        <v>#NAME?</v>
      </c>
      <c r="I57" t="e">
        <f ca="1"/>
        <v>#NAME?</v>
      </c>
      <c r="J57" t="e">
        <f ca="1"/>
        <v>#NAME?</v>
      </c>
      <c r="K57" t="e">
        <f ca="1"/>
        <v>#NAME?</v>
      </c>
      <c r="L57" t="e">
        <f ca="1"/>
        <v>#NAME?</v>
      </c>
      <c r="M57" t="e">
        <f ca="1"/>
        <v>#NAME?</v>
      </c>
      <c r="N57" t="e">
        <f ca="1"/>
        <v>#NAME?</v>
      </c>
      <c r="O57" t="e">
        <f ca="1"/>
        <v>#NAME?</v>
      </c>
      <c r="P57" t="e">
        <f ca="1"/>
        <v>#NAME?</v>
      </c>
      <c r="Q57" t="e">
        <f ca="1"/>
        <v>#NAME?</v>
      </c>
    </row>
    <row r="58" spans="1:17">
      <c r="A58" t="e">
        <f ca="1"/>
        <v>#NAME?</v>
      </c>
      <c r="B58" t="e">
        <f ca="1"/>
        <v>#NAME?</v>
      </c>
      <c r="C58" t="e">
        <f ca="1"/>
        <v>#NAME?</v>
      </c>
      <c r="D58" t="e">
        <f ca="1"/>
        <v>#NAME?</v>
      </c>
      <c r="E58" t="e">
        <f ca="1"/>
        <v>#NAME?</v>
      </c>
      <c r="F58" t="e">
        <f ca="1"/>
        <v>#NAME?</v>
      </c>
      <c r="G58" t="e">
        <f ca="1"/>
        <v>#NAME?</v>
      </c>
      <c r="H58" t="e">
        <f ca="1"/>
        <v>#NAME?</v>
      </c>
      <c r="I58" t="e">
        <f ca="1"/>
        <v>#NAME?</v>
      </c>
      <c r="J58" t="e">
        <f ca="1"/>
        <v>#NAME?</v>
      </c>
      <c r="K58" t="e">
        <f ca="1"/>
        <v>#NAME?</v>
      </c>
      <c r="L58" t="e">
        <f ca="1"/>
        <v>#NAME?</v>
      </c>
      <c r="M58" t="e">
        <f ca="1"/>
        <v>#NAME?</v>
      </c>
      <c r="N58" t="e">
        <f ca="1"/>
        <v>#NAME?</v>
      </c>
      <c r="O58" t="e">
        <f ca="1"/>
        <v>#NAME?</v>
      </c>
      <c r="P58" t="e">
        <f ca="1"/>
        <v>#NAME?</v>
      </c>
      <c r="Q58" t="e">
        <f ca="1"/>
        <v>#NAME?</v>
      </c>
    </row>
    <row r="59" spans="1:17">
      <c r="A59" t="e">
        <f ca="1"/>
        <v>#NAME?</v>
      </c>
      <c r="B59" t="e">
        <f ca="1"/>
        <v>#NAME?</v>
      </c>
      <c r="C59" t="e">
        <f ca="1"/>
        <v>#NAME?</v>
      </c>
      <c r="D59" t="e">
        <f ca="1"/>
        <v>#NAME?</v>
      </c>
      <c r="E59" t="e">
        <f ca="1"/>
        <v>#NAME?</v>
      </c>
      <c r="F59" t="e">
        <f ca="1"/>
        <v>#NAME?</v>
      </c>
      <c r="G59" t="e">
        <f ca="1"/>
        <v>#NAME?</v>
      </c>
      <c r="H59" t="e">
        <f ca="1"/>
        <v>#NAME?</v>
      </c>
      <c r="I59" t="e">
        <f ca="1"/>
        <v>#NAME?</v>
      </c>
      <c r="J59" t="e">
        <f ca="1"/>
        <v>#NAME?</v>
      </c>
      <c r="K59" t="e">
        <f ca="1"/>
        <v>#NAME?</v>
      </c>
      <c r="L59" t="e">
        <f ca="1"/>
        <v>#NAME?</v>
      </c>
      <c r="M59" t="e">
        <f ca="1"/>
        <v>#NAME?</v>
      </c>
      <c r="N59" t="e">
        <f ca="1"/>
        <v>#NAME?</v>
      </c>
      <c r="O59" t="e">
        <f ca="1"/>
        <v>#NAME?</v>
      </c>
      <c r="P59" t="e">
        <f ca="1"/>
        <v>#NAME?</v>
      </c>
      <c r="Q59" t="e">
        <f ca="1"/>
        <v>#NAME?</v>
      </c>
    </row>
    <row r="60" spans="1:17">
      <c r="A60" t="e">
        <f ca="1"/>
        <v>#NAME?</v>
      </c>
      <c r="B60" t="e">
        <f ca="1"/>
        <v>#NAME?</v>
      </c>
      <c r="C60" t="e">
        <f ca="1"/>
        <v>#NAME?</v>
      </c>
      <c r="D60" t="e">
        <f ca="1"/>
        <v>#NAME?</v>
      </c>
      <c r="E60" t="e">
        <f ca="1"/>
        <v>#NAME?</v>
      </c>
      <c r="F60" t="e">
        <f ca="1"/>
        <v>#NAME?</v>
      </c>
      <c r="G60" t="e">
        <f ca="1"/>
        <v>#NAME?</v>
      </c>
      <c r="H60" t="e">
        <f ca="1"/>
        <v>#NAME?</v>
      </c>
      <c r="I60" t="e">
        <f ca="1"/>
        <v>#NAME?</v>
      </c>
      <c r="J60" t="e">
        <f ca="1"/>
        <v>#NAME?</v>
      </c>
      <c r="K60" t="e">
        <f ca="1"/>
        <v>#NAME?</v>
      </c>
      <c r="L60" t="e">
        <f ca="1"/>
        <v>#NAME?</v>
      </c>
      <c r="M60" t="e">
        <f ca="1"/>
        <v>#NAME?</v>
      </c>
      <c r="N60" t="e">
        <f ca="1"/>
        <v>#NAME?</v>
      </c>
      <c r="O60" t="e">
        <f ca="1"/>
        <v>#NAME?</v>
      </c>
      <c r="P60" t="e">
        <f ca="1"/>
        <v>#NAME?</v>
      </c>
      <c r="Q60" t="e">
        <f ca="1"/>
        <v>#NAME?</v>
      </c>
    </row>
    <row r="61" spans="1:17">
      <c r="A61" t="e">
        <f ca="1"/>
        <v>#NAME?</v>
      </c>
      <c r="B61" t="e">
        <f ca="1"/>
        <v>#NAME?</v>
      </c>
      <c r="C61" t="e">
        <f ca="1"/>
        <v>#NAME?</v>
      </c>
      <c r="D61" t="e">
        <f ca="1"/>
        <v>#NAME?</v>
      </c>
      <c r="E61" t="e">
        <f ca="1"/>
        <v>#NAME?</v>
      </c>
      <c r="F61" t="e">
        <f ca="1"/>
        <v>#NAME?</v>
      </c>
      <c r="G61" t="e">
        <f ca="1"/>
        <v>#NAME?</v>
      </c>
      <c r="H61" t="e">
        <f ca="1"/>
        <v>#NAME?</v>
      </c>
      <c r="I61" t="e">
        <f ca="1"/>
        <v>#NAME?</v>
      </c>
      <c r="J61" t="e">
        <f ca="1"/>
        <v>#NAME?</v>
      </c>
      <c r="K61" t="e">
        <f ca="1"/>
        <v>#NAME?</v>
      </c>
      <c r="L61" t="e">
        <f ca="1"/>
        <v>#NAME?</v>
      </c>
      <c r="M61" t="e">
        <f ca="1"/>
        <v>#NAME?</v>
      </c>
      <c r="N61" t="e">
        <f ca="1"/>
        <v>#NAME?</v>
      </c>
      <c r="O61" t="e">
        <f ca="1"/>
        <v>#NAME?</v>
      </c>
      <c r="P61" t="e">
        <f ca="1"/>
        <v>#NAME?</v>
      </c>
      <c r="Q61" t="e">
        <f ca="1"/>
        <v>#NAME?</v>
      </c>
    </row>
    <row r="62" spans="1:17">
      <c r="A62" t="e">
        <f ca="1"/>
        <v>#NAME?</v>
      </c>
      <c r="B62" t="e">
        <f ca="1"/>
        <v>#NAME?</v>
      </c>
      <c r="C62" t="e">
        <f ca="1"/>
        <v>#NAME?</v>
      </c>
      <c r="D62" t="e">
        <f ca="1"/>
        <v>#NAME?</v>
      </c>
      <c r="E62" t="e">
        <f ca="1"/>
        <v>#NAME?</v>
      </c>
      <c r="F62" t="e">
        <f ca="1"/>
        <v>#NAME?</v>
      </c>
      <c r="G62" t="e">
        <f ca="1"/>
        <v>#NAME?</v>
      </c>
      <c r="H62" t="e">
        <f ca="1"/>
        <v>#NAME?</v>
      </c>
      <c r="I62" t="e">
        <f ca="1"/>
        <v>#NAME?</v>
      </c>
      <c r="J62" t="e">
        <f ca="1"/>
        <v>#NAME?</v>
      </c>
      <c r="K62" t="e">
        <f ca="1"/>
        <v>#NAME?</v>
      </c>
      <c r="L62" t="e">
        <f ca="1"/>
        <v>#NAME?</v>
      </c>
      <c r="M62" t="e">
        <f ca="1"/>
        <v>#NAME?</v>
      </c>
      <c r="N62" t="e">
        <f ca="1"/>
        <v>#NAME?</v>
      </c>
      <c r="O62" t="e">
        <f ca="1"/>
        <v>#NAME?</v>
      </c>
      <c r="P62" t="e">
        <f ca="1"/>
        <v>#NAME?</v>
      </c>
      <c r="Q62" t="e">
        <f ca="1"/>
        <v>#NAME?</v>
      </c>
    </row>
    <row r="63" spans="1:17">
      <c r="A63" t="e">
        <f ca="1"/>
        <v>#NAME?</v>
      </c>
      <c r="B63" t="e">
        <f ca="1"/>
        <v>#NAME?</v>
      </c>
      <c r="C63" t="e">
        <f ca="1"/>
        <v>#NAME?</v>
      </c>
      <c r="D63" t="e">
        <f ca="1"/>
        <v>#NAME?</v>
      </c>
      <c r="E63" t="e">
        <f ca="1"/>
        <v>#NAME?</v>
      </c>
      <c r="F63" t="e">
        <f ca="1"/>
        <v>#NAME?</v>
      </c>
      <c r="G63" t="e">
        <f ca="1"/>
        <v>#NAME?</v>
      </c>
      <c r="H63" t="e">
        <f ca="1"/>
        <v>#NAME?</v>
      </c>
      <c r="I63" t="e">
        <f ca="1"/>
        <v>#NAME?</v>
      </c>
      <c r="J63" t="e">
        <f ca="1"/>
        <v>#NAME?</v>
      </c>
      <c r="K63" t="e">
        <f ca="1"/>
        <v>#NAME?</v>
      </c>
      <c r="L63" t="e">
        <f ca="1"/>
        <v>#NAME?</v>
      </c>
      <c r="M63" t="e">
        <f ca="1"/>
        <v>#NAME?</v>
      </c>
      <c r="N63" t="e">
        <f ca="1"/>
        <v>#NAME?</v>
      </c>
      <c r="O63" t="e">
        <f ca="1"/>
        <v>#NAME?</v>
      </c>
      <c r="P63" t="e">
        <f ca="1"/>
        <v>#NAME?</v>
      </c>
      <c r="Q63" t="e">
        <f ca="1"/>
        <v>#NAME?</v>
      </c>
    </row>
    <row r="64" spans="1:17">
      <c r="A64" t="e">
        <f ca="1"/>
        <v>#NAME?</v>
      </c>
      <c r="B64" t="e">
        <f ca="1"/>
        <v>#NAME?</v>
      </c>
      <c r="C64" t="e">
        <f ca="1"/>
        <v>#NAME?</v>
      </c>
      <c r="D64" t="e">
        <f ca="1"/>
        <v>#NAME?</v>
      </c>
      <c r="E64" t="e">
        <f ca="1"/>
        <v>#NAME?</v>
      </c>
      <c r="F64" t="e">
        <f ca="1"/>
        <v>#NAME?</v>
      </c>
      <c r="G64" t="e">
        <f ca="1"/>
        <v>#NAME?</v>
      </c>
      <c r="H64" t="e">
        <f ca="1"/>
        <v>#NAME?</v>
      </c>
      <c r="I64" t="e">
        <f ca="1"/>
        <v>#NAME?</v>
      </c>
      <c r="J64" t="e">
        <f ca="1"/>
        <v>#NAME?</v>
      </c>
      <c r="K64" t="e">
        <f ca="1"/>
        <v>#NAME?</v>
      </c>
      <c r="L64" t="e">
        <f ca="1"/>
        <v>#NAME?</v>
      </c>
      <c r="M64" t="e">
        <f ca="1"/>
        <v>#NAME?</v>
      </c>
      <c r="N64" t="e">
        <f ca="1"/>
        <v>#NAME?</v>
      </c>
      <c r="O64" t="e">
        <f ca="1"/>
        <v>#NAME?</v>
      </c>
      <c r="P64" t="e">
        <f ca="1"/>
        <v>#NAME?</v>
      </c>
      <c r="Q64" t="e">
        <f ca="1"/>
        <v>#NAME?</v>
      </c>
    </row>
    <row r="65" spans="1:17">
      <c r="A65" t="e">
        <f ca="1"/>
        <v>#NAME?</v>
      </c>
      <c r="B65" t="e">
        <f ca="1"/>
        <v>#NAME?</v>
      </c>
      <c r="C65" t="e">
        <f ca="1"/>
        <v>#NAME?</v>
      </c>
      <c r="D65" t="e">
        <f ca="1"/>
        <v>#NAME?</v>
      </c>
      <c r="E65" t="e">
        <f ca="1"/>
        <v>#NAME?</v>
      </c>
      <c r="F65" t="e">
        <f ca="1"/>
        <v>#NAME?</v>
      </c>
      <c r="G65" t="e">
        <f ca="1"/>
        <v>#NAME?</v>
      </c>
      <c r="H65" t="e">
        <f ca="1"/>
        <v>#NAME?</v>
      </c>
      <c r="I65" t="e">
        <f ca="1"/>
        <v>#NAME?</v>
      </c>
      <c r="J65" t="e">
        <f ca="1"/>
        <v>#NAME?</v>
      </c>
      <c r="K65" t="e">
        <f ca="1"/>
        <v>#NAME?</v>
      </c>
      <c r="L65" t="e">
        <f ca="1"/>
        <v>#NAME?</v>
      </c>
      <c r="M65" t="e">
        <f ca="1"/>
        <v>#NAME?</v>
      </c>
      <c r="N65" t="e">
        <f ca="1"/>
        <v>#NAME?</v>
      </c>
      <c r="O65" t="e">
        <f ca="1"/>
        <v>#NAME?</v>
      </c>
      <c r="P65" t="e">
        <f ca="1"/>
        <v>#NAME?</v>
      </c>
      <c r="Q65" t="e">
        <f ca="1"/>
        <v>#NAME?</v>
      </c>
    </row>
    <row r="66" spans="1:17">
      <c r="A66" t="e">
        <f ca="1"/>
        <v>#NAME?</v>
      </c>
      <c r="B66" t="e">
        <f ca="1"/>
        <v>#NAME?</v>
      </c>
      <c r="C66" t="e">
        <f ca="1"/>
        <v>#NAME?</v>
      </c>
      <c r="D66" t="e">
        <f ca="1"/>
        <v>#NAME?</v>
      </c>
      <c r="E66" t="e">
        <f ca="1"/>
        <v>#NAME?</v>
      </c>
      <c r="F66" t="e">
        <f ca="1"/>
        <v>#NAME?</v>
      </c>
      <c r="G66" t="e">
        <f ca="1"/>
        <v>#NAME?</v>
      </c>
      <c r="H66" t="e">
        <f ca="1"/>
        <v>#NAME?</v>
      </c>
      <c r="I66" t="e">
        <f ca="1"/>
        <v>#NAME?</v>
      </c>
      <c r="J66" t="e">
        <f ca="1"/>
        <v>#NAME?</v>
      </c>
      <c r="K66" t="e">
        <f ca="1"/>
        <v>#NAME?</v>
      </c>
      <c r="L66" t="e">
        <f ca="1"/>
        <v>#NAME?</v>
      </c>
      <c r="M66" t="e">
        <f ca="1"/>
        <v>#NAME?</v>
      </c>
      <c r="N66" t="e">
        <f ca="1"/>
        <v>#NAME?</v>
      </c>
      <c r="O66" t="e">
        <f ca="1"/>
        <v>#NAME?</v>
      </c>
      <c r="P66" t="e">
        <f ca="1"/>
        <v>#NAME?</v>
      </c>
      <c r="Q66" t="e">
        <f ca="1"/>
        <v>#NAME?</v>
      </c>
    </row>
    <row r="67" spans="1:17">
      <c r="A67" t="e">
        <f ca="1"/>
        <v>#NAME?</v>
      </c>
      <c r="B67" t="e">
        <f ca="1"/>
        <v>#NAME?</v>
      </c>
      <c r="C67" t="e">
        <f ca="1"/>
        <v>#NAME?</v>
      </c>
      <c r="D67" t="e">
        <f ca="1"/>
        <v>#NAME?</v>
      </c>
      <c r="E67" t="e">
        <f ca="1"/>
        <v>#NAME?</v>
      </c>
      <c r="F67" t="e">
        <f ca="1"/>
        <v>#NAME?</v>
      </c>
      <c r="G67" t="e">
        <f ca="1"/>
        <v>#NAME?</v>
      </c>
      <c r="H67" t="e">
        <f ca="1"/>
        <v>#NAME?</v>
      </c>
      <c r="I67" t="e">
        <f ca="1"/>
        <v>#NAME?</v>
      </c>
      <c r="J67" t="e">
        <f ca="1"/>
        <v>#NAME?</v>
      </c>
      <c r="K67" t="e">
        <f ca="1"/>
        <v>#NAME?</v>
      </c>
      <c r="L67" t="e">
        <f ca="1"/>
        <v>#NAME?</v>
      </c>
      <c r="M67" t="e">
        <f ca="1"/>
        <v>#NAME?</v>
      </c>
      <c r="N67" t="e">
        <f ca="1"/>
        <v>#NAME?</v>
      </c>
      <c r="O67" t="e">
        <f ca="1"/>
        <v>#NAME?</v>
      </c>
      <c r="P67" t="e">
        <f ca="1"/>
        <v>#NAME?</v>
      </c>
      <c r="Q67" t="e">
        <f ca="1"/>
        <v>#NAME?</v>
      </c>
    </row>
    <row r="68" spans="1:17">
      <c r="A68" t="e">
        <f ca="1"/>
        <v>#NAME?</v>
      </c>
      <c r="B68" t="e">
        <f ca="1"/>
        <v>#NAME?</v>
      </c>
      <c r="C68" t="e">
        <f ca="1"/>
        <v>#NAME?</v>
      </c>
      <c r="D68" t="e">
        <f ca="1"/>
        <v>#NAME?</v>
      </c>
      <c r="E68" t="e">
        <f ca="1"/>
        <v>#NAME?</v>
      </c>
      <c r="F68" t="e">
        <f ca="1"/>
        <v>#NAME?</v>
      </c>
      <c r="G68" t="e">
        <f ca="1"/>
        <v>#NAME?</v>
      </c>
      <c r="H68" t="e">
        <f ca="1"/>
        <v>#NAME?</v>
      </c>
      <c r="I68" t="e">
        <f ca="1"/>
        <v>#NAME?</v>
      </c>
      <c r="J68" t="e">
        <f ca="1"/>
        <v>#NAME?</v>
      </c>
      <c r="K68" t="e">
        <f ca="1"/>
        <v>#NAME?</v>
      </c>
      <c r="L68" t="e">
        <f ca="1"/>
        <v>#NAME?</v>
      </c>
      <c r="M68" t="e">
        <f ca="1"/>
        <v>#NAME?</v>
      </c>
      <c r="N68" t="e">
        <f ca="1"/>
        <v>#NAME?</v>
      </c>
      <c r="O68" t="e">
        <f ca="1"/>
        <v>#NAME?</v>
      </c>
      <c r="P68" t="e">
        <f ca="1"/>
        <v>#NAME?</v>
      </c>
      <c r="Q68" t="e">
        <f ca="1"/>
        <v>#NAME?</v>
      </c>
    </row>
    <row r="69" spans="1:17">
      <c r="A69" t="e">
        <f ca="1"/>
        <v>#NAME?</v>
      </c>
      <c r="B69" t="e">
        <f ca="1"/>
        <v>#NAME?</v>
      </c>
      <c r="C69" t="e">
        <f ca="1"/>
        <v>#NAME?</v>
      </c>
      <c r="D69" t="e">
        <f ca="1"/>
        <v>#NAME?</v>
      </c>
      <c r="E69" t="e">
        <f ca="1"/>
        <v>#NAME?</v>
      </c>
      <c r="F69" t="e">
        <f ca="1"/>
        <v>#NAME?</v>
      </c>
      <c r="G69" t="e">
        <f ca="1"/>
        <v>#NAME?</v>
      </c>
      <c r="H69" t="e">
        <f ca="1"/>
        <v>#NAME?</v>
      </c>
      <c r="I69" t="e">
        <f ca="1"/>
        <v>#NAME?</v>
      </c>
      <c r="J69" t="e">
        <f ca="1"/>
        <v>#NAME?</v>
      </c>
      <c r="K69" t="e">
        <f ca="1"/>
        <v>#NAME?</v>
      </c>
      <c r="L69" t="e">
        <f ca="1"/>
        <v>#NAME?</v>
      </c>
      <c r="M69" t="e">
        <f ca="1"/>
        <v>#NAME?</v>
      </c>
      <c r="N69" t="e">
        <f ca="1"/>
        <v>#NAME?</v>
      </c>
      <c r="O69" t="e">
        <f ca="1"/>
        <v>#NAME?</v>
      </c>
      <c r="P69" t="e">
        <f ca="1"/>
        <v>#NAME?</v>
      </c>
      <c r="Q69" t="e">
        <f ca="1"/>
        <v>#NAME?</v>
      </c>
    </row>
    <row r="70" spans="1:17">
      <c r="A70" t="e">
        <f ca="1"/>
        <v>#NAME?</v>
      </c>
      <c r="B70" t="e">
        <f ca="1"/>
        <v>#NAME?</v>
      </c>
      <c r="C70" t="e">
        <f ca="1"/>
        <v>#NAME?</v>
      </c>
      <c r="D70" t="e">
        <f ca="1"/>
        <v>#NAME?</v>
      </c>
      <c r="E70" t="e">
        <f ca="1"/>
        <v>#NAME?</v>
      </c>
      <c r="F70" t="e">
        <f ca="1"/>
        <v>#NAME?</v>
      </c>
      <c r="G70" t="e">
        <f ca="1"/>
        <v>#NAME?</v>
      </c>
      <c r="H70" t="e">
        <f ca="1"/>
        <v>#NAME?</v>
      </c>
      <c r="I70" t="e">
        <f ca="1"/>
        <v>#NAME?</v>
      </c>
      <c r="J70" t="e">
        <f ca="1"/>
        <v>#NAME?</v>
      </c>
      <c r="K70" t="e">
        <f ca="1"/>
        <v>#NAME?</v>
      </c>
      <c r="L70" t="e">
        <f ca="1"/>
        <v>#NAME?</v>
      </c>
      <c r="M70" t="e">
        <f ca="1"/>
        <v>#NAME?</v>
      </c>
      <c r="N70" t="e">
        <f ca="1"/>
        <v>#NAME?</v>
      </c>
      <c r="O70" t="e">
        <f ca="1"/>
        <v>#NAME?</v>
      </c>
      <c r="P70" t="e">
        <f ca="1"/>
        <v>#NAME?</v>
      </c>
      <c r="Q70" t="e">
        <f ca="1"/>
        <v>#NAME?</v>
      </c>
    </row>
    <row r="71" spans="1:17">
      <c r="A71" t="e">
        <f ca="1"/>
        <v>#NAME?</v>
      </c>
      <c r="B71" t="e">
        <f ca="1"/>
        <v>#NAME?</v>
      </c>
      <c r="C71" t="e">
        <f ca="1"/>
        <v>#NAME?</v>
      </c>
      <c r="D71" t="e">
        <f ca="1"/>
        <v>#NAME?</v>
      </c>
      <c r="E71" t="e">
        <f ca="1"/>
        <v>#NAME?</v>
      </c>
      <c r="F71" t="e">
        <f ca="1"/>
        <v>#NAME?</v>
      </c>
      <c r="G71" t="e">
        <f ca="1"/>
        <v>#NAME?</v>
      </c>
      <c r="H71" t="e">
        <f ca="1"/>
        <v>#NAME?</v>
      </c>
      <c r="I71" t="e">
        <f ca="1"/>
        <v>#NAME?</v>
      </c>
      <c r="J71" t="e">
        <f ca="1"/>
        <v>#NAME?</v>
      </c>
      <c r="K71" t="e">
        <f ca="1"/>
        <v>#NAME?</v>
      </c>
      <c r="L71" t="e">
        <f ca="1"/>
        <v>#NAME?</v>
      </c>
      <c r="M71" t="e">
        <f ca="1"/>
        <v>#NAME?</v>
      </c>
      <c r="N71" t="e">
        <f ca="1"/>
        <v>#NAME?</v>
      </c>
      <c r="O71" t="e">
        <f ca="1"/>
        <v>#NAME?</v>
      </c>
      <c r="P71" t="e">
        <f ca="1"/>
        <v>#NAME?</v>
      </c>
      <c r="Q71" t="e">
        <f ca="1"/>
        <v>#NAME?</v>
      </c>
    </row>
    <row r="72" spans="1:17">
      <c r="A72" t="e">
        <f ca="1"/>
        <v>#NAME?</v>
      </c>
      <c r="B72" t="e">
        <f ca="1"/>
        <v>#NAME?</v>
      </c>
      <c r="C72" t="e">
        <f ca="1"/>
        <v>#NAME?</v>
      </c>
      <c r="D72" t="e">
        <f ca="1"/>
        <v>#NAME?</v>
      </c>
      <c r="E72" t="e">
        <f ca="1"/>
        <v>#NAME?</v>
      </c>
      <c r="F72" t="e">
        <f ca="1"/>
        <v>#NAME?</v>
      </c>
      <c r="G72" t="e">
        <f ca="1"/>
        <v>#NAME?</v>
      </c>
      <c r="H72" t="e">
        <f ca="1"/>
        <v>#NAME?</v>
      </c>
      <c r="I72" t="e">
        <f ca="1"/>
        <v>#NAME?</v>
      </c>
      <c r="J72" t="e">
        <f ca="1"/>
        <v>#NAME?</v>
      </c>
      <c r="K72" t="e">
        <f ca="1"/>
        <v>#NAME?</v>
      </c>
      <c r="L72" t="e">
        <f ca="1"/>
        <v>#NAME?</v>
      </c>
      <c r="M72" t="e">
        <f ca="1"/>
        <v>#NAME?</v>
      </c>
      <c r="N72" t="e">
        <f ca="1"/>
        <v>#NAME?</v>
      </c>
      <c r="O72" t="e">
        <f ca="1"/>
        <v>#NAME?</v>
      </c>
      <c r="P72" t="e">
        <f ca="1"/>
        <v>#NAME?</v>
      </c>
      <c r="Q72" t="e">
        <f ca="1"/>
        <v>#NAME?</v>
      </c>
    </row>
    <row r="73" spans="1:17">
      <c r="A73" t="e">
        <f ca="1"/>
        <v>#NAME?</v>
      </c>
      <c r="B73" t="e">
        <f ca="1"/>
        <v>#NAME?</v>
      </c>
      <c r="C73" t="e">
        <f ca="1"/>
        <v>#NAME?</v>
      </c>
      <c r="D73" t="e">
        <f ca="1"/>
        <v>#NAME?</v>
      </c>
      <c r="E73" t="e">
        <f ca="1"/>
        <v>#NAME?</v>
      </c>
      <c r="F73" t="e">
        <f ca="1"/>
        <v>#NAME?</v>
      </c>
      <c r="G73" t="e">
        <f ca="1"/>
        <v>#NAME?</v>
      </c>
      <c r="H73" t="e">
        <f ca="1"/>
        <v>#NAME?</v>
      </c>
      <c r="I73" t="e">
        <f ca="1"/>
        <v>#NAME?</v>
      </c>
      <c r="J73" t="e">
        <f ca="1"/>
        <v>#NAME?</v>
      </c>
      <c r="K73" t="e">
        <f ca="1"/>
        <v>#NAME?</v>
      </c>
      <c r="L73" t="e">
        <f ca="1"/>
        <v>#NAME?</v>
      </c>
      <c r="M73" t="e">
        <f ca="1"/>
        <v>#NAME?</v>
      </c>
      <c r="N73" t="e">
        <f ca="1"/>
        <v>#NAME?</v>
      </c>
      <c r="O73" t="e">
        <f ca="1"/>
        <v>#NAME?</v>
      </c>
      <c r="P73" t="e">
        <f ca="1"/>
        <v>#NAME?</v>
      </c>
      <c r="Q73" t="e">
        <f ca="1"/>
        <v>#NAME?</v>
      </c>
    </row>
    <row r="74" spans="1:17">
      <c r="A74" t="e">
        <f ca="1"/>
        <v>#NAME?</v>
      </c>
      <c r="B74" t="e">
        <f ca="1"/>
        <v>#NAME?</v>
      </c>
      <c r="C74" t="e">
        <f ca="1"/>
        <v>#NAME?</v>
      </c>
      <c r="D74" t="e">
        <f ca="1"/>
        <v>#NAME?</v>
      </c>
      <c r="E74" t="e">
        <f ca="1"/>
        <v>#NAME?</v>
      </c>
      <c r="F74" t="e">
        <f ca="1"/>
        <v>#NAME?</v>
      </c>
      <c r="G74" t="e">
        <f ca="1"/>
        <v>#NAME?</v>
      </c>
      <c r="H74" t="e">
        <f ca="1"/>
        <v>#NAME?</v>
      </c>
      <c r="I74" t="e">
        <f ca="1"/>
        <v>#NAME?</v>
      </c>
      <c r="J74" t="e">
        <f ca="1"/>
        <v>#NAME?</v>
      </c>
      <c r="K74" t="e">
        <f ca="1"/>
        <v>#NAME?</v>
      </c>
      <c r="L74" t="e">
        <f ca="1"/>
        <v>#NAME?</v>
      </c>
      <c r="M74" t="e">
        <f ca="1"/>
        <v>#NAME?</v>
      </c>
      <c r="N74" t="e">
        <f ca="1"/>
        <v>#NAME?</v>
      </c>
      <c r="O74" t="e">
        <f ca="1"/>
        <v>#NAME?</v>
      </c>
      <c r="P74" t="e">
        <f ca="1"/>
        <v>#NAME?</v>
      </c>
      <c r="Q74" t="e">
        <f ca="1"/>
        <v>#NAME?</v>
      </c>
    </row>
    <row r="75" spans="1:17">
      <c r="A75" t="e">
        <f ca="1"/>
        <v>#NAME?</v>
      </c>
      <c r="B75" t="e">
        <f ca="1"/>
        <v>#NAME?</v>
      </c>
      <c r="C75" t="e">
        <f ca="1"/>
        <v>#NAME?</v>
      </c>
      <c r="D75" t="e">
        <f ca="1"/>
        <v>#NAME?</v>
      </c>
      <c r="E75" t="e">
        <f ca="1"/>
        <v>#NAME?</v>
      </c>
      <c r="F75" t="e">
        <f ca="1"/>
        <v>#NAME?</v>
      </c>
      <c r="G75" t="e">
        <f ca="1"/>
        <v>#NAME?</v>
      </c>
      <c r="H75" t="e">
        <f ca="1"/>
        <v>#NAME?</v>
      </c>
      <c r="I75" t="e">
        <f ca="1"/>
        <v>#NAME?</v>
      </c>
      <c r="J75" t="e">
        <f ca="1"/>
        <v>#NAME?</v>
      </c>
      <c r="K75" t="e">
        <f ca="1"/>
        <v>#NAME?</v>
      </c>
      <c r="L75" t="e">
        <f ca="1"/>
        <v>#NAME?</v>
      </c>
      <c r="M75" t="e">
        <f ca="1"/>
        <v>#NAME?</v>
      </c>
      <c r="N75" t="e">
        <f ca="1"/>
        <v>#NAME?</v>
      </c>
      <c r="O75" t="e">
        <f ca="1"/>
        <v>#NAME?</v>
      </c>
      <c r="P75" t="e">
        <f ca="1"/>
        <v>#NAME?</v>
      </c>
      <c r="Q75" t="e">
        <f ca="1"/>
        <v>#NAME?</v>
      </c>
    </row>
    <row r="76" spans="1:17">
      <c r="A76" t="e">
        <f ca="1"/>
        <v>#NAME?</v>
      </c>
      <c r="B76" t="e">
        <f ca="1"/>
        <v>#NAME?</v>
      </c>
      <c r="C76" t="e">
        <f ca="1"/>
        <v>#NAME?</v>
      </c>
      <c r="D76" t="e">
        <f ca="1"/>
        <v>#NAME?</v>
      </c>
      <c r="E76" t="e">
        <f ca="1"/>
        <v>#NAME?</v>
      </c>
      <c r="F76" t="e">
        <f ca="1"/>
        <v>#NAME?</v>
      </c>
      <c r="G76" t="e">
        <f ca="1"/>
        <v>#NAME?</v>
      </c>
      <c r="H76" t="e">
        <f ca="1"/>
        <v>#NAME?</v>
      </c>
      <c r="I76" t="e">
        <f ca="1"/>
        <v>#NAME?</v>
      </c>
      <c r="J76" t="e">
        <f ca="1"/>
        <v>#NAME?</v>
      </c>
      <c r="K76" t="e">
        <f ca="1"/>
        <v>#NAME?</v>
      </c>
      <c r="L76" t="e">
        <f ca="1"/>
        <v>#NAME?</v>
      </c>
      <c r="M76" t="e">
        <f ca="1"/>
        <v>#NAME?</v>
      </c>
      <c r="N76" t="e">
        <f ca="1"/>
        <v>#NAME?</v>
      </c>
      <c r="O76" t="e">
        <f ca="1"/>
        <v>#NAME?</v>
      </c>
      <c r="P76" t="e">
        <f ca="1"/>
        <v>#NAME?</v>
      </c>
      <c r="Q76" t="e">
        <f ca="1"/>
        <v>#NAME?</v>
      </c>
    </row>
    <row r="77" spans="1:17">
      <c r="A77" t="e">
        <f ca="1"/>
        <v>#NAME?</v>
      </c>
      <c r="B77" t="e">
        <f ca="1"/>
        <v>#NAME?</v>
      </c>
      <c r="C77" t="e">
        <f ca="1"/>
        <v>#NAME?</v>
      </c>
      <c r="D77" t="e">
        <f ca="1"/>
        <v>#NAME?</v>
      </c>
      <c r="E77" t="e">
        <f ca="1"/>
        <v>#NAME?</v>
      </c>
      <c r="F77" t="e">
        <f ca="1"/>
        <v>#NAME?</v>
      </c>
      <c r="G77" t="e">
        <f ca="1"/>
        <v>#NAME?</v>
      </c>
      <c r="H77" t="e">
        <f ca="1"/>
        <v>#NAME?</v>
      </c>
      <c r="I77" t="e">
        <f ca="1"/>
        <v>#NAME?</v>
      </c>
      <c r="J77" t="e">
        <f ca="1"/>
        <v>#NAME?</v>
      </c>
      <c r="K77" t="e">
        <f ca="1"/>
        <v>#NAME?</v>
      </c>
      <c r="L77" t="e">
        <f ca="1"/>
        <v>#NAME?</v>
      </c>
      <c r="M77" t="e">
        <f ca="1"/>
        <v>#NAME?</v>
      </c>
      <c r="N77" t="e">
        <f ca="1"/>
        <v>#NAME?</v>
      </c>
      <c r="O77" t="e">
        <f ca="1"/>
        <v>#NAME?</v>
      </c>
      <c r="P77" t="e">
        <f ca="1"/>
        <v>#NAME?</v>
      </c>
      <c r="Q77" t="e">
        <f ca="1"/>
        <v>#NAME?</v>
      </c>
    </row>
    <row r="78" spans="1:17">
      <c r="A78" t="e">
        <f ca="1"/>
        <v>#NAME?</v>
      </c>
      <c r="B78" t="e">
        <f ca="1"/>
        <v>#NAME?</v>
      </c>
      <c r="C78" t="e">
        <f ca="1"/>
        <v>#NAME?</v>
      </c>
      <c r="D78" t="e">
        <f ca="1"/>
        <v>#NAME?</v>
      </c>
      <c r="E78" t="e">
        <f ca="1"/>
        <v>#NAME?</v>
      </c>
      <c r="F78" t="e">
        <f ca="1"/>
        <v>#NAME?</v>
      </c>
      <c r="G78" t="e">
        <f ca="1"/>
        <v>#NAME?</v>
      </c>
      <c r="H78" t="e">
        <f ca="1"/>
        <v>#NAME?</v>
      </c>
      <c r="I78" t="e">
        <f ca="1"/>
        <v>#NAME?</v>
      </c>
      <c r="J78" t="e">
        <f ca="1"/>
        <v>#NAME?</v>
      </c>
      <c r="K78" t="e">
        <f ca="1"/>
        <v>#NAME?</v>
      </c>
      <c r="L78" t="e">
        <f ca="1"/>
        <v>#NAME?</v>
      </c>
      <c r="M78" t="e">
        <f ca="1"/>
        <v>#NAME?</v>
      </c>
      <c r="N78" t="e">
        <f ca="1"/>
        <v>#NAME?</v>
      </c>
      <c r="O78" t="e">
        <f ca="1"/>
        <v>#NAME?</v>
      </c>
      <c r="P78" t="e">
        <f ca="1"/>
        <v>#NAME?</v>
      </c>
      <c r="Q78" t="e">
        <f ca="1"/>
        <v>#NAME?</v>
      </c>
    </row>
    <row r="79" spans="1:17">
      <c r="A79" t="e">
        <f ca="1"/>
        <v>#NAME?</v>
      </c>
      <c r="B79" t="e">
        <f ca="1"/>
        <v>#NAME?</v>
      </c>
      <c r="C79" t="e">
        <f ca="1"/>
        <v>#NAME?</v>
      </c>
      <c r="D79" t="e">
        <f ca="1"/>
        <v>#NAME?</v>
      </c>
      <c r="E79" t="e">
        <f ca="1"/>
        <v>#NAME?</v>
      </c>
      <c r="F79" t="e">
        <f ca="1"/>
        <v>#NAME?</v>
      </c>
      <c r="G79" t="e">
        <f ca="1"/>
        <v>#NAME?</v>
      </c>
      <c r="H79" t="e">
        <f ca="1"/>
        <v>#NAME?</v>
      </c>
      <c r="I79" t="e">
        <f ca="1"/>
        <v>#NAME?</v>
      </c>
      <c r="J79" t="e">
        <f ca="1"/>
        <v>#NAME?</v>
      </c>
      <c r="K79" t="e">
        <f ca="1"/>
        <v>#NAME?</v>
      </c>
      <c r="L79" t="e">
        <f ca="1"/>
        <v>#NAME?</v>
      </c>
      <c r="M79" t="e">
        <f ca="1"/>
        <v>#NAME?</v>
      </c>
      <c r="N79" t="e">
        <f ca="1"/>
        <v>#NAME?</v>
      </c>
      <c r="O79" t="e">
        <f ca="1"/>
        <v>#NAME?</v>
      </c>
      <c r="P79" t="e">
        <f ca="1"/>
        <v>#NAME?</v>
      </c>
      <c r="Q79" t="e">
        <f ca="1"/>
        <v>#NAME?</v>
      </c>
    </row>
    <row r="80" spans="1:17">
      <c r="A80" t="e">
        <f ca="1"/>
        <v>#NAME?</v>
      </c>
      <c r="B80" t="e">
        <f ca="1"/>
        <v>#NAME?</v>
      </c>
      <c r="C80" t="e">
        <f ca="1"/>
        <v>#NAME?</v>
      </c>
      <c r="D80" t="e">
        <f ca="1"/>
        <v>#NAME?</v>
      </c>
      <c r="E80" t="e">
        <f ca="1"/>
        <v>#NAME?</v>
      </c>
      <c r="F80" t="e">
        <f ca="1"/>
        <v>#NAME?</v>
      </c>
      <c r="G80" t="e">
        <f ca="1"/>
        <v>#NAME?</v>
      </c>
      <c r="H80" t="e">
        <f ca="1"/>
        <v>#NAME?</v>
      </c>
      <c r="I80" t="e">
        <f ca="1"/>
        <v>#NAME?</v>
      </c>
      <c r="J80" t="e">
        <f ca="1"/>
        <v>#NAME?</v>
      </c>
      <c r="K80" t="e">
        <f ca="1"/>
        <v>#NAME?</v>
      </c>
      <c r="L80" t="e">
        <f ca="1"/>
        <v>#NAME?</v>
      </c>
      <c r="M80" t="e">
        <f ca="1"/>
        <v>#NAME?</v>
      </c>
      <c r="N80" t="e">
        <f ca="1"/>
        <v>#NAME?</v>
      </c>
      <c r="O80" t="e">
        <f ca="1"/>
        <v>#NAME?</v>
      </c>
      <c r="P80" t="e">
        <f ca="1"/>
        <v>#NAME?</v>
      </c>
      <c r="Q80" t="e">
        <f ca="1"/>
        <v>#NAME?</v>
      </c>
    </row>
    <row r="81" spans="1:17">
      <c r="A81" t="e">
        <f ca="1"/>
        <v>#NAME?</v>
      </c>
      <c r="B81" t="e">
        <f ca="1"/>
        <v>#NAME?</v>
      </c>
      <c r="C81" t="e">
        <f ca="1"/>
        <v>#NAME?</v>
      </c>
      <c r="D81" t="e">
        <f ca="1"/>
        <v>#NAME?</v>
      </c>
      <c r="E81" t="e">
        <f ca="1"/>
        <v>#NAME?</v>
      </c>
      <c r="F81" t="e">
        <f ca="1"/>
        <v>#NAME?</v>
      </c>
      <c r="G81" t="e">
        <f ca="1"/>
        <v>#NAME?</v>
      </c>
      <c r="H81" t="e">
        <f ca="1"/>
        <v>#NAME?</v>
      </c>
      <c r="I81" t="e">
        <f ca="1"/>
        <v>#NAME?</v>
      </c>
      <c r="J81" t="e">
        <f ca="1"/>
        <v>#NAME?</v>
      </c>
      <c r="K81" t="e">
        <f ca="1"/>
        <v>#NAME?</v>
      </c>
      <c r="L81" t="e">
        <f ca="1"/>
        <v>#NAME?</v>
      </c>
      <c r="M81" t="e">
        <f ca="1"/>
        <v>#NAME?</v>
      </c>
      <c r="N81" t="e">
        <f ca="1"/>
        <v>#NAME?</v>
      </c>
      <c r="O81" t="e">
        <f ca="1"/>
        <v>#NAME?</v>
      </c>
      <c r="P81" t="e">
        <f ca="1"/>
        <v>#NAME?</v>
      </c>
      <c r="Q81" t="e">
        <f ca="1"/>
        <v>#NAME?</v>
      </c>
    </row>
    <row r="82" spans="1:17">
      <c r="A82" t="e">
        <f ca="1"/>
        <v>#NAME?</v>
      </c>
      <c r="B82" t="e">
        <f ca="1"/>
        <v>#NAME?</v>
      </c>
      <c r="C82" t="e">
        <f ca="1"/>
        <v>#NAME?</v>
      </c>
      <c r="D82" t="e">
        <f ca="1"/>
        <v>#NAME?</v>
      </c>
      <c r="E82" t="e">
        <f ca="1"/>
        <v>#NAME?</v>
      </c>
      <c r="F82" t="e">
        <f ca="1"/>
        <v>#NAME?</v>
      </c>
      <c r="G82" t="e">
        <f ca="1"/>
        <v>#NAME?</v>
      </c>
      <c r="H82" t="e">
        <f ca="1"/>
        <v>#NAME?</v>
      </c>
      <c r="I82" t="e">
        <f ca="1"/>
        <v>#NAME?</v>
      </c>
      <c r="J82" t="e">
        <f ca="1"/>
        <v>#NAME?</v>
      </c>
      <c r="K82" t="e">
        <f ca="1"/>
        <v>#NAME?</v>
      </c>
      <c r="L82" t="e">
        <f ca="1"/>
        <v>#NAME?</v>
      </c>
      <c r="M82" t="e">
        <f ca="1"/>
        <v>#NAME?</v>
      </c>
      <c r="N82" t="e">
        <f ca="1"/>
        <v>#NAME?</v>
      </c>
      <c r="O82" t="e">
        <f ca="1"/>
        <v>#NAME?</v>
      </c>
      <c r="P82" t="e">
        <f ca="1"/>
        <v>#NAME?</v>
      </c>
      <c r="Q82" t="e">
        <f ca="1"/>
        <v>#NAME?</v>
      </c>
    </row>
    <row r="83" spans="1:17">
      <c r="A83" t="e">
        <f ca="1"/>
        <v>#NAME?</v>
      </c>
      <c r="B83" t="e">
        <f ca="1"/>
        <v>#NAME?</v>
      </c>
      <c r="C83" t="e">
        <f ca="1"/>
        <v>#NAME?</v>
      </c>
      <c r="D83" t="e">
        <f ca="1"/>
        <v>#NAME?</v>
      </c>
      <c r="E83" t="e">
        <f ca="1"/>
        <v>#NAME?</v>
      </c>
      <c r="F83" t="e">
        <f ca="1"/>
        <v>#NAME?</v>
      </c>
      <c r="G83" t="e">
        <f ca="1"/>
        <v>#NAME?</v>
      </c>
      <c r="H83" t="e">
        <f ca="1"/>
        <v>#NAME?</v>
      </c>
      <c r="I83" t="e">
        <f ca="1"/>
        <v>#NAME?</v>
      </c>
      <c r="J83" t="e">
        <f ca="1"/>
        <v>#NAME?</v>
      </c>
      <c r="K83" t="e">
        <f ca="1"/>
        <v>#NAME?</v>
      </c>
      <c r="L83" t="e">
        <f ca="1"/>
        <v>#NAME?</v>
      </c>
      <c r="M83" t="e">
        <f ca="1"/>
        <v>#NAME?</v>
      </c>
      <c r="N83" t="e">
        <f ca="1"/>
        <v>#NAME?</v>
      </c>
      <c r="O83" t="e">
        <f ca="1"/>
        <v>#NAME?</v>
      </c>
      <c r="P83" t="e">
        <f ca="1"/>
        <v>#NAME?</v>
      </c>
      <c r="Q83" t="e">
        <f ca="1"/>
        <v>#NAME?</v>
      </c>
    </row>
    <row r="84" spans="1:17">
      <c r="A84" t="e">
        <f ca="1"/>
        <v>#NAME?</v>
      </c>
      <c r="B84" t="e">
        <f ca="1"/>
        <v>#NAME?</v>
      </c>
      <c r="C84" t="e">
        <f ca="1"/>
        <v>#NAME?</v>
      </c>
      <c r="D84" t="e">
        <f ca="1"/>
        <v>#NAME?</v>
      </c>
      <c r="E84" t="e">
        <f ca="1"/>
        <v>#NAME?</v>
      </c>
      <c r="F84" t="e">
        <f ca="1"/>
        <v>#NAME?</v>
      </c>
      <c r="G84" t="e">
        <f ca="1"/>
        <v>#NAME?</v>
      </c>
      <c r="H84" t="e">
        <f ca="1"/>
        <v>#NAME?</v>
      </c>
      <c r="I84" t="e">
        <f ca="1"/>
        <v>#NAME?</v>
      </c>
      <c r="J84" t="e">
        <f ca="1"/>
        <v>#NAME?</v>
      </c>
      <c r="K84" t="e">
        <f ca="1"/>
        <v>#NAME?</v>
      </c>
      <c r="L84" t="e">
        <f ca="1"/>
        <v>#NAME?</v>
      </c>
      <c r="M84" t="e">
        <f ca="1"/>
        <v>#NAME?</v>
      </c>
      <c r="N84" t="e">
        <f ca="1"/>
        <v>#NAME?</v>
      </c>
      <c r="O84" t="e">
        <f ca="1"/>
        <v>#NAME?</v>
      </c>
      <c r="P84" t="e">
        <f ca="1"/>
        <v>#NAME?</v>
      </c>
      <c r="Q84" t="e">
        <f ca="1"/>
        <v>#NAME?</v>
      </c>
    </row>
    <row r="85" spans="1:17">
      <c r="A85" t="e">
        <f ca="1"/>
        <v>#NAME?</v>
      </c>
      <c r="B85" t="e">
        <f ca="1"/>
        <v>#NAME?</v>
      </c>
      <c r="C85" t="e">
        <f ca="1"/>
        <v>#NAME?</v>
      </c>
      <c r="D85" t="e">
        <f ca="1"/>
        <v>#NAME?</v>
      </c>
      <c r="E85" t="e">
        <f ca="1"/>
        <v>#NAME?</v>
      </c>
      <c r="F85" t="e">
        <f ca="1"/>
        <v>#NAME?</v>
      </c>
      <c r="G85" t="e">
        <f ca="1"/>
        <v>#NAME?</v>
      </c>
      <c r="H85" t="e">
        <f ca="1"/>
        <v>#NAME?</v>
      </c>
      <c r="I85" t="e">
        <f ca="1"/>
        <v>#NAME?</v>
      </c>
      <c r="J85" t="e">
        <f ca="1"/>
        <v>#NAME?</v>
      </c>
      <c r="K85" t="e">
        <f ca="1"/>
        <v>#NAME?</v>
      </c>
      <c r="L85" t="e">
        <f ca="1"/>
        <v>#NAME?</v>
      </c>
      <c r="M85" t="e">
        <f ca="1"/>
        <v>#NAME?</v>
      </c>
      <c r="N85" t="e">
        <f ca="1"/>
        <v>#NAME?</v>
      </c>
      <c r="O85" t="e">
        <f ca="1"/>
        <v>#NAME?</v>
      </c>
      <c r="P85" t="e">
        <f ca="1"/>
        <v>#NAME?</v>
      </c>
      <c r="Q85" t="e">
        <f ca="1"/>
        <v>#NAME?</v>
      </c>
    </row>
    <row r="86" spans="1:17">
      <c r="A86" t="e">
        <f ca="1"/>
        <v>#NAME?</v>
      </c>
      <c r="B86" t="e">
        <f ca="1"/>
        <v>#NAME?</v>
      </c>
      <c r="C86" t="e">
        <f ca="1"/>
        <v>#NAME?</v>
      </c>
      <c r="D86" t="e">
        <f ca="1"/>
        <v>#NAME?</v>
      </c>
      <c r="E86" t="e">
        <f ca="1"/>
        <v>#NAME?</v>
      </c>
      <c r="F86" t="e">
        <f ca="1"/>
        <v>#NAME?</v>
      </c>
      <c r="G86" t="e">
        <f ca="1"/>
        <v>#NAME?</v>
      </c>
      <c r="H86" t="e">
        <f ca="1"/>
        <v>#NAME?</v>
      </c>
      <c r="I86" t="e">
        <f ca="1"/>
        <v>#NAME?</v>
      </c>
      <c r="J86" t="e">
        <f ca="1"/>
        <v>#NAME?</v>
      </c>
      <c r="K86" t="e">
        <f ca="1"/>
        <v>#NAME?</v>
      </c>
      <c r="L86" t="e">
        <f ca="1"/>
        <v>#NAME?</v>
      </c>
      <c r="M86" t="e">
        <f ca="1"/>
        <v>#NAME?</v>
      </c>
      <c r="N86" t="e">
        <f ca="1"/>
        <v>#NAME?</v>
      </c>
      <c r="O86" t="e">
        <f ca="1"/>
        <v>#NAME?</v>
      </c>
      <c r="P86" t="e">
        <f ca="1"/>
        <v>#NAME?</v>
      </c>
      <c r="Q86" t="e">
        <f ca="1"/>
        <v>#NAME?</v>
      </c>
    </row>
    <row r="87" spans="1:17">
      <c r="A87" t="e">
        <f ca="1"/>
        <v>#NAME?</v>
      </c>
      <c r="B87" t="e">
        <f ca="1"/>
        <v>#NAME?</v>
      </c>
      <c r="C87" t="e">
        <f ca="1"/>
        <v>#NAME?</v>
      </c>
      <c r="D87" t="e">
        <f ca="1"/>
        <v>#NAME?</v>
      </c>
      <c r="E87" t="e">
        <f ca="1"/>
        <v>#NAME?</v>
      </c>
      <c r="F87" t="e">
        <f ca="1"/>
        <v>#NAME?</v>
      </c>
      <c r="G87" t="e">
        <f ca="1"/>
        <v>#NAME?</v>
      </c>
      <c r="H87" t="e">
        <f ca="1"/>
        <v>#NAME?</v>
      </c>
      <c r="I87" t="e">
        <f ca="1"/>
        <v>#NAME?</v>
      </c>
      <c r="J87" t="e">
        <f ca="1"/>
        <v>#NAME?</v>
      </c>
      <c r="K87" t="e">
        <f ca="1"/>
        <v>#NAME?</v>
      </c>
      <c r="L87" t="e">
        <f ca="1"/>
        <v>#NAME?</v>
      </c>
      <c r="M87" t="e">
        <f ca="1"/>
        <v>#NAME?</v>
      </c>
      <c r="N87" t="e">
        <f ca="1"/>
        <v>#NAME?</v>
      </c>
      <c r="O87" t="e">
        <f ca="1"/>
        <v>#NAME?</v>
      </c>
      <c r="P87" t="e">
        <f ca="1"/>
        <v>#NAME?</v>
      </c>
      <c r="Q87" t="e">
        <f ca="1"/>
        <v>#NAME?</v>
      </c>
    </row>
    <row r="88" spans="1:17">
      <c r="A88" t="e">
        <f ca="1"/>
        <v>#NAME?</v>
      </c>
      <c r="B88" t="e">
        <f ca="1"/>
        <v>#NAME?</v>
      </c>
      <c r="C88" t="e">
        <f ca="1"/>
        <v>#NAME?</v>
      </c>
      <c r="D88" t="e">
        <f ca="1"/>
        <v>#NAME?</v>
      </c>
      <c r="E88" t="e">
        <f ca="1"/>
        <v>#NAME?</v>
      </c>
      <c r="F88" t="e">
        <f ca="1"/>
        <v>#NAME?</v>
      </c>
      <c r="G88" t="e">
        <f ca="1"/>
        <v>#NAME?</v>
      </c>
      <c r="H88" t="e">
        <f ca="1"/>
        <v>#NAME?</v>
      </c>
      <c r="I88" t="e">
        <f ca="1"/>
        <v>#NAME?</v>
      </c>
      <c r="J88" t="e">
        <f ca="1"/>
        <v>#NAME?</v>
      </c>
      <c r="K88" t="e">
        <f ca="1"/>
        <v>#NAME?</v>
      </c>
      <c r="L88" t="e">
        <f ca="1"/>
        <v>#NAME?</v>
      </c>
      <c r="M88" t="e">
        <f ca="1"/>
        <v>#NAME?</v>
      </c>
      <c r="N88" t="e">
        <f ca="1"/>
        <v>#NAME?</v>
      </c>
      <c r="O88" t="e">
        <f ca="1"/>
        <v>#NAME?</v>
      </c>
      <c r="P88" t="e">
        <f ca="1"/>
        <v>#NAME?</v>
      </c>
      <c r="Q88" t="e">
        <f ca="1"/>
        <v>#NAME?</v>
      </c>
    </row>
    <row r="89" spans="1:17">
      <c r="A89" t="e">
        <f ca="1"/>
        <v>#NAME?</v>
      </c>
      <c r="B89" t="e">
        <f ca="1"/>
        <v>#NAME?</v>
      </c>
      <c r="C89" t="e">
        <f ca="1"/>
        <v>#NAME?</v>
      </c>
      <c r="D89" t="e">
        <f ca="1"/>
        <v>#NAME?</v>
      </c>
      <c r="E89" t="e">
        <f ca="1"/>
        <v>#NAME?</v>
      </c>
      <c r="F89" t="e">
        <f ca="1"/>
        <v>#NAME?</v>
      </c>
      <c r="G89" t="e">
        <f ca="1"/>
        <v>#NAME?</v>
      </c>
      <c r="H89" t="e">
        <f ca="1"/>
        <v>#NAME?</v>
      </c>
      <c r="I89" t="e">
        <f ca="1"/>
        <v>#NAME?</v>
      </c>
      <c r="J89" t="e">
        <f ca="1"/>
        <v>#NAME?</v>
      </c>
      <c r="K89" t="e">
        <f ca="1"/>
        <v>#NAME?</v>
      </c>
      <c r="L89" t="e">
        <f ca="1"/>
        <v>#NAME?</v>
      </c>
      <c r="M89" t="e">
        <f ca="1"/>
        <v>#NAME?</v>
      </c>
      <c r="N89" t="e">
        <f ca="1"/>
        <v>#NAME?</v>
      </c>
      <c r="O89" t="e">
        <f ca="1"/>
        <v>#NAME?</v>
      </c>
      <c r="P89" t="e">
        <f ca="1"/>
        <v>#NAME?</v>
      </c>
      <c r="Q89" t="e">
        <f ca="1"/>
        <v>#NAME?</v>
      </c>
    </row>
    <row r="90" spans="1:17">
      <c r="A90" t="e">
        <f ca="1"/>
        <v>#NAME?</v>
      </c>
      <c r="B90" t="e">
        <f ca="1"/>
        <v>#NAME?</v>
      </c>
      <c r="C90" t="e">
        <f ca="1"/>
        <v>#NAME?</v>
      </c>
      <c r="D90" t="e">
        <f ca="1"/>
        <v>#NAME?</v>
      </c>
      <c r="E90" t="e">
        <f ca="1"/>
        <v>#NAME?</v>
      </c>
      <c r="F90" t="e">
        <f ca="1"/>
        <v>#NAME?</v>
      </c>
      <c r="G90" t="e">
        <f ca="1"/>
        <v>#NAME?</v>
      </c>
      <c r="H90" t="e">
        <f ca="1"/>
        <v>#NAME?</v>
      </c>
      <c r="I90" t="e">
        <f ca="1"/>
        <v>#NAME?</v>
      </c>
      <c r="J90" t="e">
        <f ca="1"/>
        <v>#NAME?</v>
      </c>
      <c r="K90" t="e">
        <f ca="1"/>
        <v>#NAME?</v>
      </c>
      <c r="L90" t="e">
        <f ca="1"/>
        <v>#NAME?</v>
      </c>
      <c r="M90" t="e">
        <f ca="1"/>
        <v>#NAME?</v>
      </c>
      <c r="N90" t="e">
        <f ca="1"/>
        <v>#NAME?</v>
      </c>
      <c r="O90" t="e">
        <f ca="1"/>
        <v>#NAME?</v>
      </c>
      <c r="P90" t="e">
        <f ca="1"/>
        <v>#NAME?</v>
      </c>
      <c r="Q90" t="e">
        <f ca="1"/>
        <v>#NAME?</v>
      </c>
    </row>
    <row r="91" spans="1:17">
      <c r="A91" t="e">
        <f ca="1"/>
        <v>#NAME?</v>
      </c>
      <c r="B91" t="e">
        <f ca="1"/>
        <v>#NAME?</v>
      </c>
      <c r="C91" t="e">
        <f ca="1"/>
        <v>#NAME?</v>
      </c>
      <c r="D91" t="e">
        <f ca="1"/>
        <v>#NAME?</v>
      </c>
      <c r="E91" t="e">
        <f ca="1"/>
        <v>#NAME?</v>
      </c>
      <c r="F91" t="e">
        <f ca="1"/>
        <v>#NAME?</v>
      </c>
      <c r="G91" t="e">
        <f ca="1"/>
        <v>#NAME?</v>
      </c>
      <c r="H91" t="e">
        <f ca="1"/>
        <v>#NAME?</v>
      </c>
      <c r="I91" t="e">
        <f ca="1"/>
        <v>#NAME?</v>
      </c>
      <c r="J91" t="e">
        <f ca="1"/>
        <v>#NAME?</v>
      </c>
      <c r="K91" t="e">
        <f ca="1"/>
        <v>#NAME?</v>
      </c>
      <c r="L91" t="e">
        <f ca="1"/>
        <v>#NAME?</v>
      </c>
      <c r="M91" t="e">
        <f ca="1"/>
        <v>#NAME?</v>
      </c>
      <c r="N91" t="e">
        <f ca="1"/>
        <v>#NAME?</v>
      </c>
      <c r="O91" t="e">
        <f ca="1"/>
        <v>#NAME?</v>
      </c>
      <c r="P91" t="e">
        <f ca="1"/>
        <v>#NAME?</v>
      </c>
      <c r="Q91" t="e">
        <f ca="1"/>
        <v>#NAME?</v>
      </c>
    </row>
    <row r="92" spans="1:17">
      <c r="A92" t="e">
        <f ca="1"/>
        <v>#NAME?</v>
      </c>
      <c r="B92" t="e">
        <f ca="1"/>
        <v>#NAME?</v>
      </c>
      <c r="C92" t="e">
        <f ca="1"/>
        <v>#NAME?</v>
      </c>
      <c r="D92" t="e">
        <f ca="1"/>
        <v>#NAME?</v>
      </c>
      <c r="E92" t="e">
        <f ca="1"/>
        <v>#NAME?</v>
      </c>
      <c r="F92" t="e">
        <f ca="1"/>
        <v>#NAME?</v>
      </c>
      <c r="G92" t="e">
        <f ca="1"/>
        <v>#NAME?</v>
      </c>
      <c r="H92" t="e">
        <f ca="1"/>
        <v>#NAME?</v>
      </c>
      <c r="I92" t="e">
        <f ca="1"/>
        <v>#NAME?</v>
      </c>
      <c r="J92" t="e">
        <f ca="1"/>
        <v>#NAME?</v>
      </c>
      <c r="K92" t="e">
        <f ca="1"/>
        <v>#NAME?</v>
      </c>
      <c r="L92" t="e">
        <f ca="1"/>
        <v>#NAME?</v>
      </c>
      <c r="M92" t="e">
        <f ca="1"/>
        <v>#NAME?</v>
      </c>
      <c r="N92" t="e">
        <f ca="1"/>
        <v>#NAME?</v>
      </c>
      <c r="O92" t="e">
        <f ca="1"/>
        <v>#NAME?</v>
      </c>
      <c r="P92" t="e">
        <f ca="1"/>
        <v>#NAME?</v>
      </c>
      <c r="Q92" t="e">
        <f ca="1"/>
        <v>#NAME?</v>
      </c>
    </row>
    <row r="93" spans="1:17">
      <c r="A93" t="e">
        <f ca="1"/>
        <v>#NAME?</v>
      </c>
      <c r="B93" t="e">
        <f ca="1"/>
        <v>#NAME?</v>
      </c>
      <c r="C93" t="e">
        <f ca="1"/>
        <v>#NAME?</v>
      </c>
      <c r="D93" t="e">
        <f ca="1"/>
        <v>#NAME?</v>
      </c>
      <c r="E93" t="e">
        <f ca="1"/>
        <v>#NAME?</v>
      </c>
      <c r="F93" t="e">
        <f ca="1"/>
        <v>#NAME?</v>
      </c>
      <c r="G93" t="e">
        <f ca="1"/>
        <v>#NAME?</v>
      </c>
      <c r="H93" t="e">
        <f ca="1"/>
        <v>#NAME?</v>
      </c>
      <c r="I93" t="e">
        <f ca="1"/>
        <v>#NAME?</v>
      </c>
      <c r="J93" t="e">
        <f ca="1"/>
        <v>#NAME?</v>
      </c>
      <c r="K93" t="e">
        <f ca="1"/>
        <v>#NAME?</v>
      </c>
      <c r="L93" t="e">
        <f ca="1"/>
        <v>#NAME?</v>
      </c>
      <c r="M93" t="e">
        <f ca="1"/>
        <v>#NAME?</v>
      </c>
      <c r="N93" t="e">
        <f ca="1"/>
        <v>#NAME?</v>
      </c>
      <c r="O93" t="e">
        <f ca="1"/>
        <v>#NAME?</v>
      </c>
      <c r="P93" t="e">
        <f ca="1"/>
        <v>#NAME?</v>
      </c>
      <c r="Q93" t="e">
        <f ca="1"/>
        <v>#NAME?</v>
      </c>
    </row>
    <row r="94" spans="1:17">
      <c r="A94" t="e">
        <f ca="1"/>
        <v>#NAME?</v>
      </c>
      <c r="B94" t="e">
        <f ca="1"/>
        <v>#NAME?</v>
      </c>
      <c r="C94" t="e">
        <f ca="1"/>
        <v>#NAME?</v>
      </c>
      <c r="D94" t="e">
        <f ca="1"/>
        <v>#NAME?</v>
      </c>
      <c r="E94" t="e">
        <f ca="1"/>
        <v>#NAME?</v>
      </c>
      <c r="F94" t="e">
        <f ca="1"/>
        <v>#NAME?</v>
      </c>
      <c r="G94" t="e">
        <f ca="1"/>
        <v>#NAME?</v>
      </c>
      <c r="H94" t="e">
        <f ca="1"/>
        <v>#NAME?</v>
      </c>
      <c r="I94" t="e">
        <f ca="1"/>
        <v>#NAME?</v>
      </c>
      <c r="J94" t="e">
        <f ca="1"/>
        <v>#NAME?</v>
      </c>
      <c r="K94" t="e">
        <f ca="1"/>
        <v>#NAME?</v>
      </c>
      <c r="L94" t="e">
        <f ca="1"/>
        <v>#NAME?</v>
      </c>
      <c r="M94" t="e">
        <f ca="1"/>
        <v>#NAME?</v>
      </c>
      <c r="N94" t="e">
        <f ca="1"/>
        <v>#NAME?</v>
      </c>
      <c r="O94" t="e">
        <f ca="1"/>
        <v>#NAME?</v>
      </c>
      <c r="P94" t="e">
        <f ca="1"/>
        <v>#NAME?</v>
      </c>
      <c r="Q94" t="e">
        <f ca="1"/>
        <v>#NAME?</v>
      </c>
    </row>
    <row r="95" spans="1:17">
      <c r="A95" t="e">
        <f ca="1"/>
        <v>#NAME?</v>
      </c>
      <c r="B95" t="e">
        <f ca="1"/>
        <v>#NAME?</v>
      </c>
      <c r="C95" t="e">
        <f ca="1"/>
        <v>#NAME?</v>
      </c>
      <c r="D95" t="e">
        <f ca="1"/>
        <v>#NAME?</v>
      </c>
      <c r="E95" t="e">
        <f ca="1"/>
        <v>#NAME?</v>
      </c>
      <c r="F95" t="e">
        <f ca="1"/>
        <v>#NAME?</v>
      </c>
      <c r="G95" t="e">
        <f ca="1"/>
        <v>#NAME?</v>
      </c>
      <c r="H95" t="e">
        <f ca="1"/>
        <v>#NAME?</v>
      </c>
      <c r="I95" t="e">
        <f ca="1"/>
        <v>#NAME?</v>
      </c>
      <c r="J95" t="e">
        <f ca="1"/>
        <v>#NAME?</v>
      </c>
      <c r="K95" t="e">
        <f ca="1"/>
        <v>#NAME?</v>
      </c>
      <c r="L95" t="e">
        <f ca="1"/>
        <v>#NAME?</v>
      </c>
      <c r="M95" t="e">
        <f ca="1"/>
        <v>#NAME?</v>
      </c>
      <c r="N95" t="e">
        <f ca="1"/>
        <v>#NAME?</v>
      </c>
      <c r="O95" t="e">
        <f ca="1"/>
        <v>#NAME?</v>
      </c>
      <c r="P95" t="e">
        <f ca="1"/>
        <v>#NAME?</v>
      </c>
      <c r="Q95" t="e">
        <f ca="1"/>
        <v>#NAME?</v>
      </c>
    </row>
    <row r="96" spans="1:17">
      <c r="A96" t="e">
        <f ca="1"/>
        <v>#NAME?</v>
      </c>
      <c r="B96" t="e">
        <f ca="1"/>
        <v>#NAME?</v>
      </c>
      <c r="C96" t="e">
        <f ca="1"/>
        <v>#NAME?</v>
      </c>
      <c r="D96" t="e">
        <f ca="1"/>
        <v>#NAME?</v>
      </c>
      <c r="E96" t="e">
        <f ca="1"/>
        <v>#NAME?</v>
      </c>
      <c r="F96" t="e">
        <f ca="1"/>
        <v>#NAME?</v>
      </c>
      <c r="G96" t="e">
        <f ca="1"/>
        <v>#NAME?</v>
      </c>
      <c r="H96" t="e">
        <f ca="1"/>
        <v>#NAME?</v>
      </c>
      <c r="I96" t="e">
        <f ca="1"/>
        <v>#NAME?</v>
      </c>
      <c r="J96" t="e">
        <f ca="1"/>
        <v>#NAME?</v>
      </c>
      <c r="K96" t="e">
        <f ca="1"/>
        <v>#NAME?</v>
      </c>
      <c r="L96" t="e">
        <f ca="1"/>
        <v>#NAME?</v>
      </c>
      <c r="M96" t="e">
        <f ca="1"/>
        <v>#NAME?</v>
      </c>
      <c r="N96" t="e">
        <f ca="1"/>
        <v>#NAME?</v>
      </c>
      <c r="O96" t="e">
        <f ca="1"/>
        <v>#NAME?</v>
      </c>
      <c r="P96" t="e">
        <f ca="1"/>
        <v>#NAME?</v>
      </c>
      <c r="Q96" t="e">
        <f ca="1"/>
        <v>#NAME?</v>
      </c>
    </row>
    <row r="97" spans="1:17">
      <c r="A97" t="e">
        <f ca="1"/>
        <v>#NAME?</v>
      </c>
      <c r="B97" t="e">
        <f ca="1"/>
        <v>#NAME?</v>
      </c>
      <c r="C97" t="e">
        <f ca="1"/>
        <v>#NAME?</v>
      </c>
      <c r="D97" t="e">
        <f ca="1"/>
        <v>#NAME?</v>
      </c>
      <c r="E97" t="e">
        <f ca="1"/>
        <v>#NAME?</v>
      </c>
      <c r="F97" t="e">
        <f ca="1"/>
        <v>#NAME?</v>
      </c>
      <c r="G97" t="e">
        <f ca="1"/>
        <v>#NAME?</v>
      </c>
      <c r="H97" t="e">
        <f ca="1"/>
        <v>#NAME?</v>
      </c>
      <c r="I97" t="e">
        <f ca="1"/>
        <v>#NAME?</v>
      </c>
      <c r="J97" t="e">
        <f ca="1"/>
        <v>#NAME?</v>
      </c>
      <c r="K97" t="e">
        <f ca="1"/>
        <v>#NAME?</v>
      </c>
      <c r="L97" t="e">
        <f ca="1"/>
        <v>#NAME?</v>
      </c>
      <c r="M97" t="e">
        <f ca="1"/>
        <v>#NAME?</v>
      </c>
      <c r="N97" t="e">
        <f ca="1"/>
        <v>#NAME?</v>
      </c>
      <c r="O97" t="e">
        <f ca="1"/>
        <v>#NAME?</v>
      </c>
      <c r="P97" t="e">
        <f ca="1"/>
        <v>#NAME?</v>
      </c>
      <c r="Q97" t="e">
        <f ca="1"/>
        <v>#NAME?</v>
      </c>
    </row>
    <row r="98" spans="1:17">
      <c r="A98" t="e">
        <f ca="1"/>
        <v>#NAME?</v>
      </c>
      <c r="B98" t="e">
        <f ca="1"/>
        <v>#NAME?</v>
      </c>
      <c r="C98" t="e">
        <f ca="1"/>
        <v>#NAME?</v>
      </c>
      <c r="D98" t="e">
        <f ca="1"/>
        <v>#NAME?</v>
      </c>
      <c r="E98" t="e">
        <f ca="1"/>
        <v>#NAME?</v>
      </c>
      <c r="F98" t="e">
        <f ca="1"/>
        <v>#NAME?</v>
      </c>
      <c r="G98" t="e">
        <f ca="1"/>
        <v>#NAME?</v>
      </c>
      <c r="H98" t="e">
        <f ca="1"/>
        <v>#NAME?</v>
      </c>
      <c r="I98" t="e">
        <f ca="1"/>
        <v>#NAME?</v>
      </c>
      <c r="J98" t="e">
        <f ca="1"/>
        <v>#NAME?</v>
      </c>
      <c r="K98" t="e">
        <f ca="1"/>
        <v>#NAME?</v>
      </c>
      <c r="L98" t="e">
        <f ca="1"/>
        <v>#NAME?</v>
      </c>
      <c r="M98" t="e">
        <f ca="1"/>
        <v>#NAME?</v>
      </c>
      <c r="N98" t="e">
        <f ca="1"/>
        <v>#NAME?</v>
      </c>
      <c r="O98" t="e">
        <f ca="1"/>
        <v>#NAME?</v>
      </c>
      <c r="P98" t="e">
        <f ca="1"/>
        <v>#NAME?</v>
      </c>
      <c r="Q98" t="e">
        <f ca="1"/>
        <v>#NAME?</v>
      </c>
    </row>
    <row r="99" spans="1:17">
      <c r="A99" t="e">
        <f ca="1"/>
        <v>#NAME?</v>
      </c>
      <c r="B99" t="e">
        <f ca="1"/>
        <v>#NAME?</v>
      </c>
      <c r="C99" t="e">
        <f ca="1"/>
        <v>#NAME?</v>
      </c>
      <c r="D99" t="e">
        <f ca="1"/>
        <v>#NAME?</v>
      </c>
      <c r="E99" t="e">
        <f ca="1"/>
        <v>#NAME?</v>
      </c>
      <c r="F99" t="e">
        <f ca="1"/>
        <v>#NAME?</v>
      </c>
      <c r="G99" t="e">
        <f ca="1"/>
        <v>#NAME?</v>
      </c>
      <c r="H99" t="e">
        <f ca="1"/>
        <v>#NAME?</v>
      </c>
      <c r="I99" t="e">
        <f ca="1"/>
        <v>#NAME?</v>
      </c>
      <c r="J99" t="e">
        <f ca="1"/>
        <v>#NAME?</v>
      </c>
      <c r="K99" t="e">
        <f ca="1"/>
        <v>#NAME?</v>
      </c>
      <c r="L99" t="e">
        <f ca="1"/>
        <v>#NAME?</v>
      </c>
      <c r="M99" t="e">
        <f ca="1"/>
        <v>#NAME?</v>
      </c>
      <c r="N99" t="e">
        <f ca="1"/>
        <v>#NAME?</v>
      </c>
      <c r="O99" t="e">
        <f ca="1"/>
        <v>#NAME?</v>
      </c>
      <c r="P99" t="e">
        <f ca="1"/>
        <v>#NAME?</v>
      </c>
      <c r="Q99" t="e">
        <f ca="1"/>
        <v>#NAME?</v>
      </c>
    </row>
    <row r="100" spans="1:17">
      <c r="A100" t="e">
        <f ca="1"/>
        <v>#NAME?</v>
      </c>
      <c r="B100" t="e">
        <f ca="1"/>
        <v>#NAME?</v>
      </c>
      <c r="C100" t="e">
        <f ca="1"/>
        <v>#NAME?</v>
      </c>
      <c r="D100" t="e">
        <f ca="1"/>
        <v>#NAME?</v>
      </c>
      <c r="E100" t="e">
        <f ca="1"/>
        <v>#NAME?</v>
      </c>
      <c r="F100" t="e">
        <f ca="1"/>
        <v>#NAME?</v>
      </c>
      <c r="G100" t="e">
        <f ca="1"/>
        <v>#NAME?</v>
      </c>
      <c r="H100" t="e">
        <f ca="1"/>
        <v>#NAME?</v>
      </c>
      <c r="I100" t="e">
        <f ca="1"/>
        <v>#NAME?</v>
      </c>
      <c r="J100" t="e">
        <f ca="1"/>
        <v>#NAME?</v>
      </c>
      <c r="K100" t="e">
        <f ca="1"/>
        <v>#NAME?</v>
      </c>
      <c r="L100" t="e">
        <f ca="1"/>
        <v>#NAME?</v>
      </c>
      <c r="M100" t="e">
        <f ca="1"/>
        <v>#NAME?</v>
      </c>
      <c r="N100" t="e">
        <f ca="1"/>
        <v>#NAME?</v>
      </c>
      <c r="O100" t="e">
        <f ca="1"/>
        <v>#NAME?</v>
      </c>
      <c r="P100" t="e">
        <f ca="1"/>
        <v>#NAME?</v>
      </c>
      <c r="Q100" t="e">
        <f ca="1"/>
        <v>#NAME?</v>
      </c>
    </row>
    <row r="101" spans="1:17">
      <c r="A101" t="e">
        <f ca="1"/>
        <v>#NAME?</v>
      </c>
      <c r="B101" t="e">
        <f ca="1"/>
        <v>#NAME?</v>
      </c>
      <c r="C101" t="e">
        <f ca="1"/>
        <v>#NAME?</v>
      </c>
      <c r="D101" t="e">
        <f ca="1"/>
        <v>#NAME?</v>
      </c>
      <c r="E101" t="e">
        <f ca="1"/>
        <v>#NAME?</v>
      </c>
      <c r="F101" t="e">
        <f ca="1"/>
        <v>#NAME?</v>
      </c>
      <c r="G101" t="e">
        <f ca="1"/>
        <v>#NAME?</v>
      </c>
      <c r="H101" t="e">
        <f ca="1"/>
        <v>#NAME?</v>
      </c>
      <c r="I101" t="e">
        <f ca="1"/>
        <v>#NAME?</v>
      </c>
      <c r="J101" t="e">
        <f ca="1"/>
        <v>#NAME?</v>
      </c>
      <c r="K101" t="e">
        <f ca="1"/>
        <v>#NAME?</v>
      </c>
      <c r="L101" t="e">
        <f ca="1"/>
        <v>#NAME?</v>
      </c>
      <c r="M101" t="e">
        <f ca="1"/>
        <v>#NAME?</v>
      </c>
      <c r="N101" t="e">
        <f ca="1"/>
        <v>#NAME?</v>
      </c>
      <c r="O101" t="e">
        <f ca="1"/>
        <v>#NAME?</v>
      </c>
      <c r="P101" t="e">
        <f ca="1"/>
        <v>#NAME?</v>
      </c>
      <c r="Q101" t="e">
        <f ca="1"/>
        <v>#NAME?</v>
      </c>
    </row>
    <row r="102" spans="1:17">
      <c r="A102" t="e">
        <f ca="1"/>
        <v>#NAME?</v>
      </c>
      <c r="B102" t="e">
        <f ca="1"/>
        <v>#NAME?</v>
      </c>
      <c r="C102" t="e">
        <f ca="1"/>
        <v>#NAME?</v>
      </c>
      <c r="D102" t="e">
        <f ca="1"/>
        <v>#NAME?</v>
      </c>
      <c r="E102" t="e">
        <f ca="1"/>
        <v>#NAME?</v>
      </c>
      <c r="F102" t="e">
        <f ca="1"/>
        <v>#NAME?</v>
      </c>
      <c r="G102" t="e">
        <f ca="1"/>
        <v>#NAME?</v>
      </c>
      <c r="H102" t="e">
        <f ca="1"/>
        <v>#NAME?</v>
      </c>
      <c r="I102" t="e">
        <f ca="1"/>
        <v>#NAME?</v>
      </c>
      <c r="J102" t="e">
        <f ca="1"/>
        <v>#NAME?</v>
      </c>
      <c r="K102" t="e">
        <f ca="1"/>
        <v>#NAME?</v>
      </c>
      <c r="L102" t="e">
        <f ca="1"/>
        <v>#NAME?</v>
      </c>
      <c r="M102" t="e">
        <f ca="1"/>
        <v>#NAME?</v>
      </c>
      <c r="N102" t="e">
        <f ca="1"/>
        <v>#NAME?</v>
      </c>
      <c r="O102" t="e">
        <f ca="1"/>
        <v>#NAME?</v>
      </c>
      <c r="P102" t="e">
        <f ca="1"/>
        <v>#NAME?</v>
      </c>
      <c r="Q102" t="e">
        <f ca="1"/>
        <v>#NAME?</v>
      </c>
    </row>
    <row r="103" spans="1:17">
      <c r="A103" t="e">
        <f ca="1"/>
        <v>#NAME?</v>
      </c>
      <c r="B103" t="e">
        <f ca="1"/>
        <v>#NAME?</v>
      </c>
      <c r="C103" t="e">
        <f ca="1"/>
        <v>#NAME?</v>
      </c>
      <c r="D103" t="e">
        <f ca="1"/>
        <v>#NAME?</v>
      </c>
      <c r="E103" t="e">
        <f ca="1"/>
        <v>#NAME?</v>
      </c>
      <c r="F103" t="e">
        <f ca="1"/>
        <v>#NAME?</v>
      </c>
      <c r="G103" t="e">
        <f ca="1"/>
        <v>#NAME?</v>
      </c>
      <c r="H103" t="e">
        <f ca="1"/>
        <v>#NAME?</v>
      </c>
      <c r="I103" t="e">
        <f ca="1"/>
        <v>#NAME?</v>
      </c>
      <c r="J103" t="e">
        <f ca="1"/>
        <v>#NAME?</v>
      </c>
      <c r="K103" t="e">
        <f ca="1"/>
        <v>#NAME?</v>
      </c>
      <c r="L103" t="e">
        <f ca="1"/>
        <v>#NAME?</v>
      </c>
      <c r="M103" t="e">
        <f ca="1"/>
        <v>#NAME?</v>
      </c>
      <c r="N103" t="e">
        <f ca="1"/>
        <v>#NAME?</v>
      </c>
      <c r="O103" t="e">
        <f ca="1"/>
        <v>#NAME?</v>
      </c>
      <c r="P103" t="e">
        <f ca="1"/>
        <v>#NAME?</v>
      </c>
      <c r="Q103" t="e">
        <f ca="1"/>
        <v>#NAME?</v>
      </c>
    </row>
    <row r="104" spans="1:17">
      <c r="A104" t="e">
        <f ca="1"/>
        <v>#NAME?</v>
      </c>
      <c r="B104" t="e">
        <f ca="1"/>
        <v>#NAME?</v>
      </c>
      <c r="C104" t="e">
        <f ca="1"/>
        <v>#NAME?</v>
      </c>
      <c r="D104" t="e">
        <f ca="1"/>
        <v>#NAME?</v>
      </c>
      <c r="E104" t="e">
        <f ca="1"/>
        <v>#NAME?</v>
      </c>
      <c r="F104" t="e">
        <f ca="1"/>
        <v>#NAME?</v>
      </c>
      <c r="G104" t="e">
        <f ca="1"/>
        <v>#NAME?</v>
      </c>
      <c r="H104" t="e">
        <f ca="1"/>
        <v>#NAME?</v>
      </c>
      <c r="I104" t="e">
        <f ca="1"/>
        <v>#NAME?</v>
      </c>
      <c r="J104" t="e">
        <f ca="1"/>
        <v>#NAME?</v>
      </c>
      <c r="K104" t="e">
        <f ca="1"/>
        <v>#NAME?</v>
      </c>
      <c r="L104" t="e">
        <f ca="1"/>
        <v>#NAME?</v>
      </c>
      <c r="M104" t="e">
        <f ca="1"/>
        <v>#NAME?</v>
      </c>
      <c r="N104" t="e">
        <f ca="1"/>
        <v>#NAME?</v>
      </c>
      <c r="O104" t="e">
        <f ca="1"/>
        <v>#NAME?</v>
      </c>
      <c r="P104" t="e">
        <f ca="1"/>
        <v>#NAME?</v>
      </c>
      <c r="Q104" t="e">
        <f ca="1"/>
        <v>#NAME?</v>
      </c>
    </row>
    <row r="105" spans="1:17">
      <c r="A105" t="e">
        <f ca="1"/>
        <v>#NAME?</v>
      </c>
      <c r="B105" t="e">
        <f ca="1"/>
        <v>#NAME?</v>
      </c>
      <c r="C105" t="e">
        <f ca="1"/>
        <v>#NAME?</v>
      </c>
      <c r="D105" t="e">
        <f ca="1"/>
        <v>#NAME?</v>
      </c>
      <c r="E105" t="e">
        <f ca="1"/>
        <v>#NAME?</v>
      </c>
      <c r="F105" t="e">
        <f ca="1"/>
        <v>#NAME?</v>
      </c>
      <c r="G105" t="e">
        <f ca="1"/>
        <v>#NAME?</v>
      </c>
      <c r="H105" t="e">
        <f ca="1"/>
        <v>#NAME?</v>
      </c>
      <c r="I105" t="e">
        <f ca="1"/>
        <v>#NAME?</v>
      </c>
      <c r="J105" t="e">
        <f ca="1"/>
        <v>#NAME?</v>
      </c>
      <c r="K105" t="e">
        <f ca="1"/>
        <v>#NAME?</v>
      </c>
      <c r="L105" t="e">
        <f ca="1"/>
        <v>#NAME?</v>
      </c>
      <c r="M105" t="e">
        <f ca="1"/>
        <v>#NAME?</v>
      </c>
      <c r="N105" t="e">
        <f ca="1"/>
        <v>#NAME?</v>
      </c>
      <c r="O105" t="e">
        <f ca="1"/>
        <v>#NAME?</v>
      </c>
      <c r="P105" t="e">
        <f ca="1"/>
        <v>#NAME?</v>
      </c>
      <c r="Q105" t="e">
        <f ca="1"/>
        <v>#NAME?</v>
      </c>
    </row>
    <row r="106" spans="1:17">
      <c r="A106" t="e">
        <f ca="1"/>
        <v>#NAME?</v>
      </c>
      <c r="B106" t="e">
        <f ca="1"/>
        <v>#NAME?</v>
      </c>
      <c r="C106" t="e">
        <f ca="1"/>
        <v>#NAME?</v>
      </c>
      <c r="D106" t="e">
        <f ca="1"/>
        <v>#NAME?</v>
      </c>
      <c r="E106" t="e">
        <f ca="1"/>
        <v>#NAME?</v>
      </c>
      <c r="F106" t="e">
        <f ca="1"/>
        <v>#NAME?</v>
      </c>
      <c r="G106" t="e">
        <f ca="1"/>
        <v>#NAME?</v>
      </c>
      <c r="H106" t="e">
        <f ca="1"/>
        <v>#NAME?</v>
      </c>
      <c r="I106" t="e">
        <f ca="1"/>
        <v>#NAME?</v>
      </c>
      <c r="J106" t="e">
        <f ca="1"/>
        <v>#NAME?</v>
      </c>
      <c r="K106" t="e">
        <f ca="1"/>
        <v>#NAME?</v>
      </c>
      <c r="L106" t="e">
        <f ca="1"/>
        <v>#NAME?</v>
      </c>
      <c r="M106" t="e">
        <f ca="1"/>
        <v>#NAME?</v>
      </c>
      <c r="N106" t="e">
        <f ca="1"/>
        <v>#NAME?</v>
      </c>
      <c r="O106" t="e">
        <f ca="1"/>
        <v>#NAME?</v>
      </c>
      <c r="P106" t="e">
        <f ca="1"/>
        <v>#NAME?</v>
      </c>
      <c r="Q106" t="e">
        <f ca="1"/>
        <v>#NAME?</v>
      </c>
    </row>
    <row r="107" spans="1:17">
      <c r="A107" t="e">
        <f ca="1"/>
        <v>#NAME?</v>
      </c>
      <c r="B107" t="e">
        <f ca="1"/>
        <v>#NAME?</v>
      </c>
      <c r="C107" t="e">
        <f ca="1"/>
        <v>#NAME?</v>
      </c>
      <c r="D107" t="e">
        <f ca="1"/>
        <v>#NAME?</v>
      </c>
      <c r="E107" t="e">
        <f ca="1"/>
        <v>#NAME?</v>
      </c>
      <c r="F107" t="e">
        <f ca="1"/>
        <v>#NAME?</v>
      </c>
      <c r="G107" t="e">
        <f ca="1"/>
        <v>#NAME?</v>
      </c>
      <c r="H107" t="e">
        <f ca="1"/>
        <v>#NAME?</v>
      </c>
      <c r="I107" t="e">
        <f ca="1"/>
        <v>#NAME?</v>
      </c>
      <c r="J107" t="e">
        <f ca="1"/>
        <v>#NAME?</v>
      </c>
      <c r="K107" t="e">
        <f ca="1"/>
        <v>#NAME?</v>
      </c>
      <c r="L107" t="e">
        <f ca="1"/>
        <v>#NAME?</v>
      </c>
      <c r="M107" t="e">
        <f ca="1"/>
        <v>#NAME?</v>
      </c>
      <c r="N107" t="e">
        <f ca="1"/>
        <v>#NAME?</v>
      </c>
      <c r="O107" t="e">
        <f ca="1"/>
        <v>#NAME?</v>
      </c>
      <c r="P107" t="e">
        <f ca="1"/>
        <v>#NAME?</v>
      </c>
      <c r="Q107" t="e">
        <f ca="1"/>
        <v>#NAME?</v>
      </c>
    </row>
    <row r="108" spans="1:17">
      <c r="A108" t="e">
        <f ca="1"/>
        <v>#NAME?</v>
      </c>
      <c r="B108" t="e">
        <f ca="1"/>
        <v>#NAME?</v>
      </c>
      <c r="C108" t="e">
        <f ca="1"/>
        <v>#NAME?</v>
      </c>
      <c r="D108" t="e">
        <f ca="1"/>
        <v>#NAME?</v>
      </c>
      <c r="E108" t="e">
        <f ca="1"/>
        <v>#NAME?</v>
      </c>
      <c r="F108" t="e">
        <f ca="1"/>
        <v>#NAME?</v>
      </c>
      <c r="G108" t="e">
        <f ca="1"/>
        <v>#NAME?</v>
      </c>
      <c r="H108" t="e">
        <f ca="1"/>
        <v>#NAME?</v>
      </c>
      <c r="I108" t="e">
        <f ca="1"/>
        <v>#NAME?</v>
      </c>
      <c r="J108" t="e">
        <f ca="1"/>
        <v>#NAME?</v>
      </c>
      <c r="K108" t="e">
        <f ca="1"/>
        <v>#NAME?</v>
      </c>
      <c r="L108" t="e">
        <f ca="1"/>
        <v>#NAME?</v>
      </c>
      <c r="M108" t="e">
        <f ca="1"/>
        <v>#NAME?</v>
      </c>
      <c r="N108" t="e">
        <f ca="1"/>
        <v>#NAME?</v>
      </c>
      <c r="O108" t="e">
        <f ca="1"/>
        <v>#NAME?</v>
      </c>
      <c r="P108" t="e">
        <f ca="1"/>
        <v>#NAME?</v>
      </c>
      <c r="Q108" t="e">
        <f ca="1"/>
        <v>#NAME?</v>
      </c>
    </row>
    <row r="109" spans="1:17">
      <c r="A109" t="e">
        <f ca="1"/>
        <v>#NAME?</v>
      </c>
      <c r="B109" t="e">
        <f ca="1"/>
        <v>#NAME?</v>
      </c>
      <c r="C109" t="e">
        <f ca="1"/>
        <v>#NAME?</v>
      </c>
      <c r="D109" t="e">
        <f ca="1"/>
        <v>#NAME?</v>
      </c>
      <c r="E109" t="e">
        <f ca="1"/>
        <v>#NAME?</v>
      </c>
      <c r="F109" t="e">
        <f ca="1"/>
        <v>#NAME?</v>
      </c>
      <c r="G109" t="e">
        <f ca="1"/>
        <v>#NAME?</v>
      </c>
      <c r="H109" t="e">
        <f ca="1"/>
        <v>#NAME?</v>
      </c>
      <c r="I109" t="e">
        <f ca="1"/>
        <v>#NAME?</v>
      </c>
      <c r="J109" t="e">
        <f ca="1"/>
        <v>#NAME?</v>
      </c>
      <c r="K109" t="e">
        <f ca="1"/>
        <v>#NAME?</v>
      </c>
      <c r="L109" t="e">
        <f ca="1"/>
        <v>#NAME?</v>
      </c>
      <c r="M109" t="e">
        <f ca="1"/>
        <v>#NAME?</v>
      </c>
      <c r="N109" t="e">
        <f ca="1"/>
        <v>#NAME?</v>
      </c>
      <c r="O109" t="e">
        <f ca="1"/>
        <v>#NAME?</v>
      </c>
      <c r="P109" t="e">
        <f ca="1"/>
        <v>#NAME?</v>
      </c>
      <c r="Q109" t="e">
        <f ca="1"/>
        <v>#NAME?</v>
      </c>
    </row>
    <row r="110" spans="1:17">
      <c r="A110" t="e">
        <f ca="1"/>
        <v>#NAME?</v>
      </c>
      <c r="B110" t="e">
        <f ca="1"/>
        <v>#NAME?</v>
      </c>
      <c r="C110" t="e">
        <f ca="1"/>
        <v>#NAME?</v>
      </c>
      <c r="D110" t="e">
        <f ca="1"/>
        <v>#NAME?</v>
      </c>
      <c r="E110" t="e">
        <f ca="1"/>
        <v>#NAME?</v>
      </c>
      <c r="F110" t="e">
        <f ca="1"/>
        <v>#NAME?</v>
      </c>
      <c r="G110" t="e">
        <f ca="1"/>
        <v>#NAME?</v>
      </c>
      <c r="H110" t="e">
        <f ca="1"/>
        <v>#NAME?</v>
      </c>
      <c r="I110" t="e">
        <f ca="1"/>
        <v>#NAME?</v>
      </c>
      <c r="J110" t="e">
        <f ca="1"/>
        <v>#NAME?</v>
      </c>
      <c r="K110" t="e">
        <f ca="1"/>
        <v>#NAME?</v>
      </c>
      <c r="L110" t="e">
        <f ca="1"/>
        <v>#NAME?</v>
      </c>
      <c r="M110" t="e">
        <f ca="1"/>
        <v>#NAME?</v>
      </c>
      <c r="N110" t="e">
        <f ca="1"/>
        <v>#NAME?</v>
      </c>
      <c r="O110" t="e">
        <f ca="1"/>
        <v>#NAME?</v>
      </c>
      <c r="P110" t="e">
        <f ca="1"/>
        <v>#NAME?</v>
      </c>
      <c r="Q110" t="e">
        <f ca="1"/>
        <v>#NAME?</v>
      </c>
    </row>
    <row r="111" spans="1:17">
      <c r="A111" t="e">
        <f ca="1"/>
        <v>#NAME?</v>
      </c>
      <c r="B111" t="e">
        <f ca="1"/>
        <v>#NAME?</v>
      </c>
      <c r="C111" t="e">
        <f ca="1"/>
        <v>#NAME?</v>
      </c>
      <c r="D111" t="e">
        <f ca="1"/>
        <v>#NAME?</v>
      </c>
      <c r="E111" t="e">
        <f ca="1"/>
        <v>#NAME?</v>
      </c>
      <c r="F111" t="e">
        <f ca="1"/>
        <v>#NAME?</v>
      </c>
      <c r="G111" t="e">
        <f ca="1"/>
        <v>#NAME?</v>
      </c>
      <c r="H111" t="e">
        <f ca="1"/>
        <v>#NAME?</v>
      </c>
      <c r="I111" t="e">
        <f ca="1"/>
        <v>#NAME?</v>
      </c>
      <c r="J111" t="e">
        <f ca="1"/>
        <v>#NAME?</v>
      </c>
      <c r="K111" t="e">
        <f ca="1"/>
        <v>#NAME?</v>
      </c>
      <c r="L111" t="e">
        <f ca="1"/>
        <v>#NAME?</v>
      </c>
      <c r="M111" t="e">
        <f ca="1"/>
        <v>#NAME?</v>
      </c>
      <c r="N111" t="e">
        <f ca="1"/>
        <v>#NAME?</v>
      </c>
      <c r="O111" t="e">
        <f ca="1"/>
        <v>#NAME?</v>
      </c>
      <c r="P111" t="e">
        <f ca="1"/>
        <v>#NAME?</v>
      </c>
      <c r="Q111" t="e">
        <f ca="1"/>
        <v>#NAME?</v>
      </c>
    </row>
    <row r="112" spans="1:17">
      <c r="A112" t="e">
        <f ca="1"/>
        <v>#NAME?</v>
      </c>
      <c r="B112" t="e">
        <f ca="1"/>
        <v>#NAME?</v>
      </c>
      <c r="C112" t="e">
        <f ca="1"/>
        <v>#NAME?</v>
      </c>
      <c r="D112" t="e">
        <f ca="1"/>
        <v>#NAME?</v>
      </c>
      <c r="E112" t="e">
        <f ca="1"/>
        <v>#NAME?</v>
      </c>
      <c r="F112" t="e">
        <f ca="1"/>
        <v>#NAME?</v>
      </c>
      <c r="G112" t="e">
        <f ca="1"/>
        <v>#NAME?</v>
      </c>
      <c r="H112" t="e">
        <f ca="1"/>
        <v>#NAME?</v>
      </c>
      <c r="I112" t="e">
        <f ca="1"/>
        <v>#NAME?</v>
      </c>
      <c r="J112" t="e">
        <f ca="1"/>
        <v>#NAME?</v>
      </c>
      <c r="K112" t="e">
        <f ca="1"/>
        <v>#NAME?</v>
      </c>
      <c r="L112" t="e">
        <f ca="1"/>
        <v>#NAME?</v>
      </c>
      <c r="M112" t="e">
        <f ca="1"/>
        <v>#NAME?</v>
      </c>
      <c r="N112" t="e">
        <f ca="1"/>
        <v>#NAME?</v>
      </c>
      <c r="O112" t="e">
        <f ca="1"/>
        <v>#NAME?</v>
      </c>
      <c r="P112" t="e">
        <f ca="1"/>
        <v>#NAME?</v>
      </c>
      <c r="Q112" t="e">
        <f ca="1"/>
        <v>#NAME?</v>
      </c>
    </row>
    <row r="113" spans="1:17">
      <c r="A113" t="e">
        <f ca="1"/>
        <v>#NAME?</v>
      </c>
      <c r="B113" t="e">
        <f ca="1"/>
        <v>#NAME?</v>
      </c>
      <c r="C113" t="e">
        <f ca="1"/>
        <v>#NAME?</v>
      </c>
      <c r="D113" t="e">
        <f ca="1"/>
        <v>#NAME?</v>
      </c>
      <c r="E113" t="e">
        <f ca="1"/>
        <v>#NAME?</v>
      </c>
      <c r="F113" t="e">
        <f ca="1"/>
        <v>#NAME?</v>
      </c>
      <c r="G113" t="e">
        <f ca="1"/>
        <v>#NAME?</v>
      </c>
      <c r="H113" t="e">
        <f ca="1"/>
        <v>#NAME?</v>
      </c>
      <c r="I113" t="e">
        <f ca="1"/>
        <v>#NAME?</v>
      </c>
      <c r="J113" t="e">
        <f ca="1"/>
        <v>#NAME?</v>
      </c>
      <c r="K113" t="e">
        <f ca="1"/>
        <v>#NAME?</v>
      </c>
      <c r="L113" t="e">
        <f ca="1"/>
        <v>#NAME?</v>
      </c>
      <c r="M113" t="e">
        <f ca="1"/>
        <v>#NAME?</v>
      </c>
      <c r="N113" t="e">
        <f ca="1"/>
        <v>#NAME?</v>
      </c>
      <c r="O113" t="e">
        <f ca="1"/>
        <v>#NAME?</v>
      </c>
      <c r="P113" t="e">
        <f ca="1"/>
        <v>#NAME?</v>
      </c>
      <c r="Q113" t="e">
        <f ca="1"/>
        <v>#NAME?</v>
      </c>
    </row>
    <row r="114" spans="1:17">
      <c r="A114" t="e">
        <f ca="1"/>
        <v>#NAME?</v>
      </c>
      <c r="B114" t="e">
        <f ca="1"/>
        <v>#NAME?</v>
      </c>
      <c r="C114" t="e">
        <f ca="1"/>
        <v>#NAME?</v>
      </c>
      <c r="D114" t="e">
        <f ca="1"/>
        <v>#NAME?</v>
      </c>
      <c r="E114" t="e">
        <f ca="1"/>
        <v>#NAME?</v>
      </c>
      <c r="F114" t="e">
        <f ca="1"/>
        <v>#NAME?</v>
      </c>
      <c r="G114" t="e">
        <f ca="1"/>
        <v>#NAME?</v>
      </c>
      <c r="H114" t="e">
        <f ca="1"/>
        <v>#NAME?</v>
      </c>
      <c r="I114" t="e">
        <f ca="1"/>
        <v>#NAME?</v>
      </c>
      <c r="J114" t="e">
        <f ca="1"/>
        <v>#NAME?</v>
      </c>
      <c r="K114" t="e">
        <f ca="1"/>
        <v>#NAME?</v>
      </c>
      <c r="L114" t="e">
        <f ca="1"/>
        <v>#NAME?</v>
      </c>
      <c r="M114" t="e">
        <f ca="1"/>
        <v>#NAME?</v>
      </c>
      <c r="N114" t="e">
        <f ca="1"/>
        <v>#NAME?</v>
      </c>
      <c r="O114" t="e">
        <f ca="1"/>
        <v>#NAME?</v>
      </c>
      <c r="P114" t="e">
        <f ca="1"/>
        <v>#NAME?</v>
      </c>
      <c r="Q114" t="e">
        <f ca="1"/>
        <v>#NAME?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9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:Q9" ca="1">_xlfn._xlws.FILTER(Specifications!B2:R99991, Specifications!A2:A99991 = "MSM", "")</f>
        <v>#NAME?</v>
      </c>
      <c r="B2" t="e">
        <f ca="1"/>
        <v>#NAME?</v>
      </c>
      <c r="C2" t="e">
        <f ca="1"/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  <c r="M2" t="e">
        <f ca="1"/>
        <v>#NAME?</v>
      </c>
      <c r="N2" t="e">
        <f ca="1"/>
        <v>#NAME?</v>
      </c>
      <c r="O2" t="e">
        <f ca="1"/>
        <v>#NAME?</v>
      </c>
      <c r="P2" t="e">
        <f ca="1"/>
        <v>#NAME?</v>
      </c>
      <c r="Q2" t="e">
        <f ca="1"/>
        <v>#NAME?</v>
      </c>
    </row>
    <row r="3" spans="1:17">
      <c r="A3" t="e">
        <f ca="1"/>
        <v>#NAME?</v>
      </c>
      <c r="B3" t="e">
        <f ca="1"/>
        <v>#NAME?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  <c r="M3" t="e">
        <f ca="1"/>
        <v>#NAME?</v>
      </c>
      <c r="N3" t="e">
        <f ca="1"/>
        <v>#NAME?</v>
      </c>
      <c r="O3" t="e">
        <f ca="1"/>
        <v>#NAME?</v>
      </c>
      <c r="P3" t="e">
        <f ca="1"/>
        <v>#NAME?</v>
      </c>
      <c r="Q3" t="e">
        <f ca="1"/>
        <v>#NAME?</v>
      </c>
    </row>
    <row r="4" spans="1:17">
      <c r="A4" t="e">
        <f ca="1"/>
        <v>#NAME?</v>
      </c>
      <c r="B4" t="e">
        <f ca="1"/>
        <v>#NAME?</v>
      </c>
      <c r="C4" t="e">
        <f ca="1"/>
        <v>#NAME?</v>
      </c>
      <c r="D4" t="e">
        <f ca="1"/>
        <v>#NAME?</v>
      </c>
      <c r="E4" t="e">
        <f ca="1"/>
        <v>#NAME?</v>
      </c>
      <c r="F4" t="e">
        <f ca="1"/>
        <v>#NAME?</v>
      </c>
      <c r="G4" t="e">
        <f ca="1"/>
        <v>#NAME?</v>
      </c>
      <c r="H4" t="e">
        <f ca="1"/>
        <v>#NAME?</v>
      </c>
      <c r="I4" t="e">
        <f ca="1"/>
        <v>#NAME?</v>
      </c>
      <c r="J4" t="e">
        <f ca="1"/>
        <v>#NAME?</v>
      </c>
      <c r="K4" t="e">
        <f ca="1"/>
        <v>#NAME?</v>
      </c>
      <c r="L4" t="e">
        <f ca="1"/>
        <v>#NAME?</v>
      </c>
      <c r="M4" t="e">
        <f ca="1"/>
        <v>#NAME?</v>
      </c>
      <c r="N4" t="e">
        <f ca="1"/>
        <v>#NAME?</v>
      </c>
      <c r="O4" t="e">
        <f ca="1"/>
        <v>#NAME?</v>
      </c>
      <c r="P4" t="e">
        <f ca="1"/>
        <v>#NAME?</v>
      </c>
      <c r="Q4" t="e">
        <f ca="1"/>
        <v>#NAME?</v>
      </c>
    </row>
    <row r="5" spans="1:17">
      <c r="A5" t="e">
        <f ca="1"/>
        <v>#NAME?</v>
      </c>
      <c r="B5" t="e">
        <f ca="1"/>
        <v>#NAME?</v>
      </c>
      <c r="C5" t="e">
        <f ca="1"/>
        <v>#NAME?</v>
      </c>
      <c r="D5" t="e">
        <f ca="1"/>
        <v>#NAME?</v>
      </c>
      <c r="E5" t="e">
        <f ca="1"/>
        <v>#NAME?</v>
      </c>
      <c r="F5" t="e">
        <f ca="1"/>
        <v>#NAME?</v>
      </c>
      <c r="G5" t="e">
        <f ca="1"/>
        <v>#NAME?</v>
      </c>
      <c r="H5" t="e">
        <f ca="1"/>
        <v>#NAME?</v>
      </c>
      <c r="I5" t="e">
        <f ca="1"/>
        <v>#NAME?</v>
      </c>
      <c r="J5" t="e">
        <f ca="1"/>
        <v>#NAME?</v>
      </c>
      <c r="K5" t="e">
        <f ca="1"/>
        <v>#NAME?</v>
      </c>
      <c r="L5" t="e">
        <f ca="1"/>
        <v>#NAME?</v>
      </c>
      <c r="M5" t="e">
        <f ca="1"/>
        <v>#NAME?</v>
      </c>
      <c r="N5" t="e">
        <f ca="1"/>
        <v>#NAME?</v>
      </c>
      <c r="O5" t="e">
        <f ca="1"/>
        <v>#NAME?</v>
      </c>
      <c r="P5" t="e">
        <f ca="1"/>
        <v>#NAME?</v>
      </c>
      <c r="Q5" t="e">
        <f ca="1"/>
        <v>#NAME?</v>
      </c>
    </row>
    <row r="6" spans="1:17">
      <c r="A6" t="e">
        <f ca="1"/>
        <v>#NAME?</v>
      </c>
      <c r="B6" t="e">
        <f ca="1"/>
        <v>#NAME?</v>
      </c>
      <c r="C6" t="e">
        <f ca="1"/>
        <v>#NAME?</v>
      </c>
      <c r="D6" t="e">
        <f ca="1"/>
        <v>#NAME?</v>
      </c>
      <c r="E6" t="e">
        <f ca="1"/>
        <v>#NAME?</v>
      </c>
      <c r="F6" t="e">
        <f ca="1"/>
        <v>#NAME?</v>
      </c>
      <c r="G6" t="e">
        <f ca="1"/>
        <v>#NAME?</v>
      </c>
      <c r="H6" t="e">
        <f ca="1"/>
        <v>#NAME?</v>
      </c>
      <c r="I6" t="e">
        <f ca="1"/>
        <v>#NAME?</v>
      </c>
      <c r="J6" t="e">
        <f ca="1"/>
        <v>#NAME?</v>
      </c>
      <c r="K6" t="e">
        <f ca="1"/>
        <v>#NAME?</v>
      </c>
      <c r="L6" t="e">
        <f ca="1"/>
        <v>#NAME?</v>
      </c>
      <c r="M6" t="e">
        <f ca="1"/>
        <v>#NAME?</v>
      </c>
      <c r="N6" t="e">
        <f ca="1"/>
        <v>#NAME?</v>
      </c>
      <c r="O6" t="e">
        <f ca="1"/>
        <v>#NAME?</v>
      </c>
      <c r="P6" t="e">
        <f ca="1"/>
        <v>#NAME?</v>
      </c>
      <c r="Q6" t="e">
        <f ca="1"/>
        <v>#NAME?</v>
      </c>
    </row>
    <row r="7" spans="1:17">
      <c r="A7" t="e">
        <f ca="1"/>
        <v>#NAME?</v>
      </c>
      <c r="B7" t="e">
        <f ca="1"/>
        <v>#NAME?</v>
      </c>
      <c r="C7" t="e">
        <f ca="1"/>
        <v>#NAME?</v>
      </c>
      <c r="D7" t="e">
        <f ca="1"/>
        <v>#NAME?</v>
      </c>
      <c r="E7" t="e">
        <f ca="1"/>
        <v>#NAME?</v>
      </c>
      <c r="F7" t="e">
        <f ca="1"/>
        <v>#NAME?</v>
      </c>
      <c r="G7" t="e">
        <f ca="1"/>
        <v>#NAME?</v>
      </c>
      <c r="H7" t="e">
        <f ca="1"/>
        <v>#NAME?</v>
      </c>
      <c r="I7" t="e">
        <f ca="1"/>
        <v>#NAME?</v>
      </c>
      <c r="J7" t="e">
        <f ca="1"/>
        <v>#NAME?</v>
      </c>
      <c r="K7" t="e">
        <f ca="1"/>
        <v>#NAME?</v>
      </c>
      <c r="L7" t="e">
        <f ca="1"/>
        <v>#NAME?</v>
      </c>
      <c r="M7" t="e">
        <f ca="1"/>
        <v>#NAME?</v>
      </c>
      <c r="N7" t="e">
        <f ca="1"/>
        <v>#NAME?</v>
      </c>
      <c r="O7" t="e">
        <f ca="1"/>
        <v>#NAME?</v>
      </c>
      <c r="P7" t="e">
        <f ca="1"/>
        <v>#NAME?</v>
      </c>
      <c r="Q7" t="e">
        <f ca="1"/>
        <v>#NAME?</v>
      </c>
    </row>
    <row r="8" spans="1:17">
      <c r="A8" t="e">
        <f ca="1"/>
        <v>#NAME?</v>
      </c>
      <c r="B8" t="e">
        <f ca="1"/>
        <v>#NAME?</v>
      </c>
      <c r="C8" t="e">
        <f ca="1"/>
        <v>#NAME?</v>
      </c>
      <c r="D8" t="e">
        <f ca="1"/>
        <v>#NAME?</v>
      </c>
      <c r="E8" t="e">
        <f ca="1"/>
        <v>#NAME?</v>
      </c>
      <c r="F8" t="e">
        <f ca="1"/>
        <v>#NAME?</v>
      </c>
      <c r="G8" t="e">
        <f ca="1"/>
        <v>#NAME?</v>
      </c>
      <c r="H8" t="e">
        <f ca="1"/>
        <v>#NAME?</v>
      </c>
      <c r="I8" t="e">
        <f ca="1"/>
        <v>#NAME?</v>
      </c>
      <c r="J8" t="e">
        <f ca="1"/>
        <v>#NAME?</v>
      </c>
      <c r="K8" t="e">
        <f ca="1"/>
        <v>#NAME?</v>
      </c>
      <c r="L8" t="e">
        <f ca="1"/>
        <v>#NAME?</v>
      </c>
      <c r="M8" t="e">
        <f ca="1"/>
        <v>#NAME?</v>
      </c>
      <c r="N8" t="e">
        <f ca="1"/>
        <v>#NAME?</v>
      </c>
      <c r="O8" t="e">
        <f ca="1"/>
        <v>#NAME?</v>
      </c>
      <c r="P8" t="e">
        <f ca="1"/>
        <v>#NAME?</v>
      </c>
      <c r="Q8" t="e">
        <f ca="1"/>
        <v>#NAME?</v>
      </c>
    </row>
    <row r="9" spans="1:17">
      <c r="A9" t="e">
        <f ca="1"/>
        <v>#NAME?</v>
      </c>
      <c r="B9" t="e">
        <f ca="1"/>
        <v>#NAME?</v>
      </c>
      <c r="C9" t="e">
        <f ca="1"/>
        <v>#NAME?</v>
      </c>
      <c r="D9" t="e">
        <f ca="1"/>
        <v>#NAME?</v>
      </c>
      <c r="E9" t="e">
        <f ca="1"/>
        <v>#NAME?</v>
      </c>
      <c r="F9" t="e">
        <f ca="1"/>
        <v>#NAME?</v>
      </c>
      <c r="G9" t="e">
        <f ca="1"/>
        <v>#NAME?</v>
      </c>
      <c r="H9" t="e">
        <f ca="1"/>
        <v>#NAME?</v>
      </c>
      <c r="I9" t="e">
        <f ca="1"/>
        <v>#NAME?</v>
      </c>
      <c r="J9" t="e">
        <f ca="1"/>
        <v>#NAME?</v>
      </c>
      <c r="K9" t="e">
        <f ca="1"/>
        <v>#NAME?</v>
      </c>
      <c r="L9" t="e">
        <f ca="1"/>
        <v>#NAME?</v>
      </c>
      <c r="M9" t="e">
        <f ca="1"/>
        <v>#NAME?</v>
      </c>
      <c r="N9" t="e">
        <f ca="1"/>
        <v>#NAME?</v>
      </c>
      <c r="O9" t="e">
        <f ca="1"/>
        <v>#NAME?</v>
      </c>
      <c r="P9" t="e">
        <f ca="1"/>
        <v>#NAME?</v>
      </c>
      <c r="Q9" t="e">
        <f ca="1"/>
        <v>#NAME?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2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" ca="1">_xlfn._xlws.FILTER(Specifications!B2:R99991, Specifications!A2:A99991 = "Nato", "")</f>
        <v>#NAME?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6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:Q6" ca="1">_xlfn._xlws.FILTER(Specifications!B2:R99991, Specifications!A2:A99991 = "Omega", "")</f>
        <v>#NAME?</v>
      </c>
      <c r="B2" t="e">
        <f ca="1"/>
        <v>#NAME?</v>
      </c>
      <c r="C2" t="e">
        <f ca="1"/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  <c r="M2" t="e">
        <f ca="1"/>
        <v>#NAME?</v>
      </c>
      <c r="N2" t="e">
        <f ca="1"/>
        <v>#NAME?</v>
      </c>
      <c r="O2" t="e">
        <f ca="1"/>
        <v>#NAME?</v>
      </c>
      <c r="P2" t="e">
        <f ca="1"/>
        <v>#NAME?</v>
      </c>
      <c r="Q2" t="e">
        <f ca="1"/>
        <v>#NAME?</v>
      </c>
    </row>
    <row r="3" spans="1:17">
      <c r="A3" t="e">
        <f ca="1"/>
        <v>#NAME?</v>
      </c>
      <c r="B3" t="e">
        <f ca="1"/>
        <v>#NAME?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  <c r="M3" t="e">
        <f ca="1"/>
        <v>#NAME?</v>
      </c>
      <c r="N3" t="e">
        <f ca="1"/>
        <v>#NAME?</v>
      </c>
      <c r="O3" t="e">
        <f ca="1"/>
        <v>#NAME?</v>
      </c>
      <c r="P3" t="e">
        <f ca="1"/>
        <v>#NAME?</v>
      </c>
      <c r="Q3" t="e">
        <f ca="1"/>
        <v>#NAME?</v>
      </c>
    </row>
    <row r="4" spans="1:17">
      <c r="A4" t="e">
        <f ca="1"/>
        <v>#NAME?</v>
      </c>
      <c r="B4" t="e">
        <f ca="1"/>
        <v>#NAME?</v>
      </c>
      <c r="C4" t="e">
        <f ca="1"/>
        <v>#NAME?</v>
      </c>
      <c r="D4" t="e">
        <f ca="1"/>
        <v>#NAME?</v>
      </c>
      <c r="E4" t="e">
        <f ca="1"/>
        <v>#NAME?</v>
      </c>
      <c r="F4" t="e">
        <f ca="1"/>
        <v>#NAME?</v>
      </c>
      <c r="G4" t="e">
        <f ca="1"/>
        <v>#NAME?</v>
      </c>
      <c r="H4" t="e">
        <f ca="1"/>
        <v>#NAME?</v>
      </c>
      <c r="I4" t="e">
        <f ca="1"/>
        <v>#NAME?</v>
      </c>
      <c r="J4" t="e">
        <f ca="1"/>
        <v>#NAME?</v>
      </c>
      <c r="K4" t="e">
        <f ca="1"/>
        <v>#NAME?</v>
      </c>
      <c r="L4" t="e">
        <f ca="1"/>
        <v>#NAME?</v>
      </c>
      <c r="M4" t="e">
        <f ca="1"/>
        <v>#NAME?</v>
      </c>
      <c r="N4" t="e">
        <f ca="1"/>
        <v>#NAME?</v>
      </c>
      <c r="O4" t="e">
        <f ca="1"/>
        <v>#NAME?</v>
      </c>
      <c r="P4" t="e">
        <f ca="1"/>
        <v>#NAME?</v>
      </c>
      <c r="Q4" t="e">
        <f ca="1"/>
        <v>#NAME?</v>
      </c>
    </row>
    <row r="5" spans="1:17">
      <c r="A5" t="e">
        <f ca="1"/>
        <v>#NAME?</v>
      </c>
      <c r="B5" t="e">
        <f ca="1"/>
        <v>#NAME?</v>
      </c>
      <c r="C5" t="e">
        <f ca="1"/>
        <v>#NAME?</v>
      </c>
      <c r="D5" t="e">
        <f ca="1"/>
        <v>#NAME?</v>
      </c>
      <c r="E5" t="e">
        <f ca="1"/>
        <v>#NAME?</v>
      </c>
      <c r="F5" t="e">
        <f ca="1"/>
        <v>#NAME?</v>
      </c>
      <c r="G5" t="e">
        <f ca="1"/>
        <v>#NAME?</v>
      </c>
      <c r="H5" t="e">
        <f ca="1"/>
        <v>#NAME?</v>
      </c>
      <c r="I5" t="e">
        <f ca="1"/>
        <v>#NAME?</v>
      </c>
      <c r="J5" t="e">
        <f ca="1"/>
        <v>#NAME?</v>
      </c>
      <c r="K5" t="e">
        <f ca="1"/>
        <v>#NAME?</v>
      </c>
      <c r="L5" t="e">
        <f ca="1"/>
        <v>#NAME?</v>
      </c>
      <c r="M5" t="e">
        <f ca="1"/>
        <v>#NAME?</v>
      </c>
      <c r="N5" t="e">
        <f ca="1"/>
        <v>#NAME?</v>
      </c>
      <c r="O5" t="e">
        <f ca="1"/>
        <v>#NAME?</v>
      </c>
      <c r="P5" t="e">
        <f ca="1"/>
        <v>#NAME?</v>
      </c>
      <c r="Q5" t="e">
        <f ca="1"/>
        <v>#NAME?</v>
      </c>
    </row>
    <row r="6" spans="1:17">
      <c r="A6" t="e">
        <f ca="1"/>
        <v>#NAME?</v>
      </c>
      <c r="B6" t="e">
        <f ca="1"/>
        <v>#NAME?</v>
      </c>
      <c r="C6" t="e">
        <f ca="1"/>
        <v>#NAME?</v>
      </c>
      <c r="D6" t="e">
        <f ca="1"/>
        <v>#NAME?</v>
      </c>
      <c r="E6" t="e">
        <f ca="1"/>
        <v>#NAME?</v>
      </c>
      <c r="F6" t="e">
        <f ca="1"/>
        <v>#NAME?</v>
      </c>
      <c r="G6" t="e">
        <f ca="1"/>
        <v>#NAME?</v>
      </c>
      <c r="H6" t="e">
        <f ca="1"/>
        <v>#NAME?</v>
      </c>
      <c r="I6" t="e">
        <f ca="1"/>
        <v>#NAME?</v>
      </c>
      <c r="J6" t="e">
        <f ca="1"/>
        <v>#NAME?</v>
      </c>
      <c r="K6" t="e">
        <f ca="1"/>
        <v>#NAME?</v>
      </c>
      <c r="L6" t="e">
        <f ca="1"/>
        <v>#NAME?</v>
      </c>
      <c r="M6" t="e">
        <f ca="1"/>
        <v>#NAME?</v>
      </c>
      <c r="N6" t="e">
        <f ca="1"/>
        <v>#NAME?</v>
      </c>
      <c r="O6" t="e">
        <f ca="1"/>
        <v>#NAME?</v>
      </c>
      <c r="P6" t="e">
        <f ca="1"/>
        <v>#NAME?</v>
      </c>
      <c r="Q6" t="e">
        <f ca="1"/>
        <v>#NAME?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8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:Q8" ca="1">_xlfn._xlws.FILTER(Specifications!B2:R99991, Specifications!A2:A99991 = "Singapore", "")</f>
        <v>#NAME?</v>
      </c>
      <c r="B2" t="e">
        <f ca="1"/>
        <v>#NAME?</v>
      </c>
      <c r="C2" t="e">
        <f ca="1"/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  <c r="M2" t="e">
        <f ca="1"/>
        <v>#NAME?</v>
      </c>
      <c r="N2" t="e">
        <f ca="1"/>
        <v>#NAME?</v>
      </c>
      <c r="O2" t="e">
        <f ca="1"/>
        <v>#NAME?</v>
      </c>
      <c r="P2" t="e">
        <f ca="1"/>
        <v>#NAME?</v>
      </c>
      <c r="Q2" t="e">
        <f ca="1"/>
        <v>#NAME?</v>
      </c>
    </row>
    <row r="3" spans="1:17">
      <c r="A3" t="e">
        <f ca="1"/>
        <v>#NAME?</v>
      </c>
      <c r="B3" t="e">
        <f ca="1"/>
        <v>#NAME?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  <c r="M3" t="e">
        <f ca="1"/>
        <v>#NAME?</v>
      </c>
      <c r="N3" t="e">
        <f ca="1"/>
        <v>#NAME?</v>
      </c>
      <c r="O3" t="e">
        <f ca="1"/>
        <v>#NAME?</v>
      </c>
      <c r="P3" t="e">
        <f ca="1"/>
        <v>#NAME?</v>
      </c>
      <c r="Q3" t="e">
        <f ca="1"/>
        <v>#NAME?</v>
      </c>
    </row>
    <row r="4" spans="1:17">
      <c r="A4" t="e">
        <f ca="1"/>
        <v>#NAME?</v>
      </c>
      <c r="B4" t="e">
        <f ca="1"/>
        <v>#NAME?</v>
      </c>
      <c r="C4" t="e">
        <f ca="1"/>
        <v>#NAME?</v>
      </c>
      <c r="D4" t="e">
        <f ca="1"/>
        <v>#NAME?</v>
      </c>
      <c r="E4" t="e">
        <f ca="1"/>
        <v>#NAME?</v>
      </c>
      <c r="F4" t="e">
        <f ca="1"/>
        <v>#NAME?</v>
      </c>
      <c r="G4" t="e">
        <f ca="1"/>
        <v>#NAME?</v>
      </c>
      <c r="H4" t="e">
        <f ca="1"/>
        <v>#NAME?</v>
      </c>
      <c r="I4" t="e">
        <f ca="1"/>
        <v>#NAME?</v>
      </c>
      <c r="J4" t="e">
        <f ca="1"/>
        <v>#NAME?</v>
      </c>
      <c r="K4" t="e">
        <f ca="1"/>
        <v>#NAME?</v>
      </c>
      <c r="L4" t="e">
        <f ca="1"/>
        <v>#NAME?</v>
      </c>
      <c r="M4" t="e">
        <f ca="1"/>
        <v>#NAME?</v>
      </c>
      <c r="N4" t="e">
        <f ca="1"/>
        <v>#NAME?</v>
      </c>
      <c r="O4" t="e">
        <f ca="1"/>
        <v>#NAME?</v>
      </c>
      <c r="P4" t="e">
        <f ca="1"/>
        <v>#NAME?</v>
      </c>
      <c r="Q4" t="e">
        <f ca="1"/>
        <v>#NAME?</v>
      </c>
    </row>
    <row r="5" spans="1:17">
      <c r="A5" t="e">
        <f ca="1"/>
        <v>#NAME?</v>
      </c>
      <c r="B5" t="e">
        <f ca="1"/>
        <v>#NAME?</v>
      </c>
      <c r="C5" t="e">
        <f ca="1"/>
        <v>#NAME?</v>
      </c>
      <c r="D5" t="e">
        <f ca="1"/>
        <v>#NAME?</v>
      </c>
      <c r="E5" t="e">
        <f ca="1"/>
        <v>#NAME?</v>
      </c>
      <c r="F5" t="e">
        <f ca="1"/>
        <v>#NAME?</v>
      </c>
      <c r="G5" t="e">
        <f ca="1"/>
        <v>#NAME?</v>
      </c>
      <c r="H5" t="e">
        <f ca="1"/>
        <v>#NAME?</v>
      </c>
      <c r="I5" t="e">
        <f ca="1"/>
        <v>#NAME?</v>
      </c>
      <c r="J5" t="e">
        <f ca="1"/>
        <v>#NAME?</v>
      </c>
      <c r="K5" t="e">
        <f ca="1"/>
        <v>#NAME?</v>
      </c>
      <c r="L5" t="e">
        <f ca="1"/>
        <v>#NAME?</v>
      </c>
      <c r="M5" t="e">
        <f ca="1"/>
        <v>#NAME?</v>
      </c>
      <c r="N5" t="e">
        <f ca="1"/>
        <v>#NAME?</v>
      </c>
      <c r="O5" t="e">
        <f ca="1"/>
        <v>#NAME?</v>
      </c>
      <c r="P5" t="e">
        <f ca="1"/>
        <v>#NAME?</v>
      </c>
      <c r="Q5" t="e">
        <f ca="1"/>
        <v>#NAME?</v>
      </c>
    </row>
    <row r="6" spans="1:17">
      <c r="A6" t="e">
        <f ca="1"/>
        <v>#NAME?</v>
      </c>
      <c r="B6" t="e">
        <f ca="1"/>
        <v>#NAME?</v>
      </c>
      <c r="C6" t="e">
        <f ca="1"/>
        <v>#NAME?</v>
      </c>
      <c r="D6" t="e">
        <f ca="1"/>
        <v>#NAME?</v>
      </c>
      <c r="E6" t="e">
        <f ca="1"/>
        <v>#NAME?</v>
      </c>
      <c r="F6" t="e">
        <f ca="1"/>
        <v>#NAME?</v>
      </c>
      <c r="G6" t="e">
        <f ca="1"/>
        <v>#NAME?</v>
      </c>
      <c r="H6" t="e">
        <f ca="1"/>
        <v>#NAME?</v>
      </c>
      <c r="I6" t="e">
        <f ca="1"/>
        <v>#NAME?</v>
      </c>
      <c r="J6" t="e">
        <f ca="1"/>
        <v>#NAME?</v>
      </c>
      <c r="K6" t="e">
        <f ca="1"/>
        <v>#NAME?</v>
      </c>
      <c r="L6" t="e">
        <f ca="1"/>
        <v>#NAME?</v>
      </c>
      <c r="M6" t="e">
        <f ca="1"/>
        <v>#NAME?</v>
      </c>
      <c r="N6" t="e">
        <f ca="1"/>
        <v>#NAME?</v>
      </c>
      <c r="O6" t="e">
        <f ca="1"/>
        <v>#NAME?</v>
      </c>
      <c r="P6" t="e">
        <f ca="1"/>
        <v>#NAME?</v>
      </c>
      <c r="Q6" t="e">
        <f ca="1"/>
        <v>#NAME?</v>
      </c>
    </row>
    <row r="7" spans="1:17">
      <c r="A7" t="e">
        <f ca="1"/>
        <v>#NAME?</v>
      </c>
      <c r="B7" t="e">
        <f ca="1"/>
        <v>#NAME?</v>
      </c>
      <c r="C7" t="e">
        <f ca="1"/>
        <v>#NAME?</v>
      </c>
      <c r="D7" t="e">
        <f ca="1"/>
        <v>#NAME?</v>
      </c>
      <c r="E7" t="e">
        <f ca="1"/>
        <v>#NAME?</v>
      </c>
      <c r="F7" t="e">
        <f ca="1"/>
        <v>#NAME?</v>
      </c>
      <c r="G7" t="e">
        <f ca="1"/>
        <v>#NAME?</v>
      </c>
      <c r="H7" t="e">
        <f ca="1"/>
        <v>#NAME?</v>
      </c>
      <c r="I7" t="e">
        <f ca="1"/>
        <v>#NAME?</v>
      </c>
      <c r="J7" t="e">
        <f ca="1"/>
        <v>#NAME?</v>
      </c>
      <c r="K7" t="e">
        <f ca="1"/>
        <v>#NAME?</v>
      </c>
      <c r="L7" t="e">
        <f ca="1"/>
        <v>#NAME?</v>
      </c>
      <c r="M7" t="e">
        <f ca="1"/>
        <v>#NAME?</v>
      </c>
      <c r="N7" t="e">
        <f ca="1"/>
        <v>#NAME?</v>
      </c>
      <c r="O7" t="e">
        <f ca="1"/>
        <v>#NAME?</v>
      </c>
      <c r="P7" t="e">
        <f ca="1"/>
        <v>#NAME?</v>
      </c>
      <c r="Q7" t="e">
        <f ca="1"/>
        <v>#NAME?</v>
      </c>
    </row>
    <row r="8" spans="1:17">
      <c r="A8" t="e">
        <f ca="1"/>
        <v>#NAME?</v>
      </c>
      <c r="B8" t="e">
        <f ca="1"/>
        <v>#NAME?</v>
      </c>
      <c r="C8" t="e">
        <f ca="1"/>
        <v>#NAME?</v>
      </c>
      <c r="D8" t="e">
        <f ca="1"/>
        <v>#NAME?</v>
      </c>
      <c r="E8" t="e">
        <f ca="1"/>
        <v>#NAME?</v>
      </c>
      <c r="F8" t="e">
        <f ca="1"/>
        <v>#NAME?</v>
      </c>
      <c r="G8" t="e">
        <f ca="1"/>
        <v>#NAME?</v>
      </c>
      <c r="H8" t="e">
        <f ca="1"/>
        <v>#NAME?</v>
      </c>
      <c r="I8" t="e">
        <f ca="1"/>
        <v>#NAME?</v>
      </c>
      <c r="J8" t="e">
        <f ca="1"/>
        <v>#NAME?</v>
      </c>
      <c r="K8" t="e">
        <f ca="1"/>
        <v>#NAME?</v>
      </c>
      <c r="L8" t="e">
        <f ca="1"/>
        <v>#NAME?</v>
      </c>
      <c r="M8" t="e">
        <f ca="1"/>
        <v>#NAME?</v>
      </c>
      <c r="N8" t="e">
        <f ca="1"/>
        <v>#NAME?</v>
      </c>
      <c r="O8" t="e">
        <f ca="1"/>
        <v>#NAME?</v>
      </c>
      <c r="P8" t="e">
        <f ca="1"/>
        <v>#NAME?</v>
      </c>
      <c r="Q8" t="e">
        <f ca="1"/>
        <v>#NAME?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8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:Q8" ca="1">_xlfn._xlws.FILTER(Specifications!B2:R99991, Specifications!A2:A99991 = "South Korea", "")</f>
        <v>#NAME?</v>
      </c>
      <c r="B2" t="e">
        <f ca="1"/>
        <v>#NAME?</v>
      </c>
      <c r="C2" t="e">
        <f ca="1"/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  <c r="M2" t="e">
        <f ca="1"/>
        <v>#NAME?</v>
      </c>
      <c r="N2" t="e">
        <f ca="1"/>
        <v>#NAME?</v>
      </c>
      <c r="O2" t="e">
        <f ca="1"/>
        <v>#NAME?</v>
      </c>
      <c r="P2" t="e">
        <f ca="1"/>
        <v>#NAME?</v>
      </c>
      <c r="Q2" t="e">
        <f ca="1"/>
        <v>#NAME?</v>
      </c>
    </row>
    <row r="3" spans="1:17">
      <c r="A3" t="e">
        <f ca="1"/>
        <v>#NAME?</v>
      </c>
      <c r="B3" t="e">
        <f ca="1"/>
        <v>#NAME?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  <c r="M3" t="e">
        <f ca="1"/>
        <v>#NAME?</v>
      </c>
      <c r="N3" t="e">
        <f ca="1"/>
        <v>#NAME?</v>
      </c>
      <c r="O3" t="e">
        <f ca="1"/>
        <v>#NAME?</v>
      </c>
      <c r="P3" t="e">
        <f ca="1"/>
        <v>#NAME?</v>
      </c>
      <c r="Q3" t="e">
        <f ca="1"/>
        <v>#NAME?</v>
      </c>
    </row>
    <row r="4" spans="1:17">
      <c r="A4" t="e">
        <f ca="1"/>
        <v>#NAME?</v>
      </c>
      <c r="B4" t="e">
        <f ca="1"/>
        <v>#NAME?</v>
      </c>
      <c r="C4" t="e">
        <f ca="1"/>
        <v>#NAME?</v>
      </c>
      <c r="D4" t="e">
        <f ca="1"/>
        <v>#NAME?</v>
      </c>
      <c r="E4" t="e">
        <f ca="1"/>
        <v>#NAME?</v>
      </c>
      <c r="F4" t="e">
        <f ca="1"/>
        <v>#NAME?</v>
      </c>
      <c r="G4" t="e">
        <f ca="1"/>
        <v>#NAME?</v>
      </c>
      <c r="H4" t="e">
        <f ca="1"/>
        <v>#NAME?</v>
      </c>
      <c r="I4" t="e">
        <f ca="1"/>
        <v>#NAME?</v>
      </c>
      <c r="J4" t="e">
        <f ca="1"/>
        <v>#NAME?</v>
      </c>
      <c r="K4" t="e">
        <f ca="1"/>
        <v>#NAME?</v>
      </c>
      <c r="L4" t="e">
        <f ca="1"/>
        <v>#NAME?</v>
      </c>
      <c r="M4" t="e">
        <f ca="1"/>
        <v>#NAME?</v>
      </c>
      <c r="N4" t="e">
        <f ca="1"/>
        <v>#NAME?</v>
      </c>
      <c r="O4" t="e">
        <f ca="1"/>
        <v>#NAME?</v>
      </c>
      <c r="P4" t="e">
        <f ca="1"/>
        <v>#NAME?</v>
      </c>
      <c r="Q4" t="e">
        <f ca="1"/>
        <v>#NAME?</v>
      </c>
    </row>
    <row r="5" spans="1:17">
      <c r="A5" t="e">
        <f ca="1"/>
        <v>#NAME?</v>
      </c>
      <c r="B5" t="e">
        <f ca="1"/>
        <v>#NAME?</v>
      </c>
      <c r="C5" t="e">
        <f ca="1"/>
        <v>#NAME?</v>
      </c>
      <c r="D5" t="e">
        <f ca="1"/>
        <v>#NAME?</v>
      </c>
      <c r="E5" t="e">
        <f ca="1"/>
        <v>#NAME?</v>
      </c>
      <c r="F5" t="e">
        <f ca="1"/>
        <v>#NAME?</v>
      </c>
      <c r="G5" t="e">
        <f ca="1"/>
        <v>#NAME?</v>
      </c>
      <c r="H5" t="e">
        <f ca="1"/>
        <v>#NAME?</v>
      </c>
      <c r="I5" t="e">
        <f ca="1"/>
        <v>#NAME?</v>
      </c>
      <c r="J5" t="e">
        <f ca="1"/>
        <v>#NAME?</v>
      </c>
      <c r="K5" t="e">
        <f ca="1"/>
        <v>#NAME?</v>
      </c>
      <c r="L5" t="e">
        <f ca="1"/>
        <v>#NAME?</v>
      </c>
      <c r="M5" t="e">
        <f ca="1"/>
        <v>#NAME?</v>
      </c>
      <c r="N5" t="e">
        <f ca="1"/>
        <v>#NAME?</v>
      </c>
      <c r="O5" t="e">
        <f ca="1"/>
        <v>#NAME?</v>
      </c>
      <c r="P5" t="e">
        <f ca="1"/>
        <v>#NAME?</v>
      </c>
      <c r="Q5" t="e">
        <f ca="1"/>
        <v>#NAME?</v>
      </c>
    </row>
    <row r="6" spans="1:17">
      <c r="A6" t="e">
        <f ca="1"/>
        <v>#NAME?</v>
      </c>
      <c r="B6" t="e">
        <f ca="1"/>
        <v>#NAME?</v>
      </c>
      <c r="C6" t="e">
        <f ca="1"/>
        <v>#NAME?</v>
      </c>
      <c r="D6" t="e">
        <f ca="1"/>
        <v>#NAME?</v>
      </c>
      <c r="E6" t="e">
        <f ca="1"/>
        <v>#NAME?</v>
      </c>
      <c r="F6" t="e">
        <f ca="1"/>
        <v>#NAME?</v>
      </c>
      <c r="G6" t="e">
        <f ca="1"/>
        <v>#NAME?</v>
      </c>
      <c r="H6" t="e">
        <f ca="1"/>
        <v>#NAME?</v>
      </c>
      <c r="I6" t="e">
        <f ca="1"/>
        <v>#NAME?</v>
      </c>
      <c r="J6" t="e">
        <f ca="1"/>
        <v>#NAME?</v>
      </c>
      <c r="K6" t="e">
        <f ca="1"/>
        <v>#NAME?</v>
      </c>
      <c r="L6" t="e">
        <f ca="1"/>
        <v>#NAME?</v>
      </c>
      <c r="M6" t="e">
        <f ca="1"/>
        <v>#NAME?</v>
      </c>
      <c r="N6" t="e">
        <f ca="1"/>
        <v>#NAME?</v>
      </c>
      <c r="O6" t="e">
        <f ca="1"/>
        <v>#NAME?</v>
      </c>
      <c r="P6" t="e">
        <f ca="1"/>
        <v>#NAME?</v>
      </c>
      <c r="Q6" t="e">
        <f ca="1"/>
        <v>#NAME?</v>
      </c>
    </row>
    <row r="7" spans="1:17">
      <c r="A7" t="e">
        <f ca="1"/>
        <v>#NAME?</v>
      </c>
      <c r="B7" t="e">
        <f ca="1"/>
        <v>#NAME?</v>
      </c>
      <c r="C7" t="e">
        <f ca="1"/>
        <v>#NAME?</v>
      </c>
      <c r="D7" t="e">
        <f ca="1"/>
        <v>#NAME?</v>
      </c>
      <c r="E7" t="e">
        <f ca="1"/>
        <v>#NAME?</v>
      </c>
      <c r="F7" t="e">
        <f ca="1"/>
        <v>#NAME?</v>
      </c>
      <c r="G7" t="e">
        <f ca="1"/>
        <v>#NAME?</v>
      </c>
      <c r="H7" t="e">
        <f ca="1"/>
        <v>#NAME?</v>
      </c>
      <c r="I7" t="e">
        <f ca="1"/>
        <v>#NAME?</v>
      </c>
      <c r="J7" t="e">
        <f ca="1"/>
        <v>#NAME?</v>
      </c>
      <c r="K7" t="e">
        <f ca="1"/>
        <v>#NAME?</v>
      </c>
      <c r="L7" t="e">
        <f ca="1"/>
        <v>#NAME?</v>
      </c>
      <c r="M7" t="e">
        <f ca="1"/>
        <v>#NAME?</v>
      </c>
      <c r="N7" t="e">
        <f ca="1"/>
        <v>#NAME?</v>
      </c>
      <c r="O7" t="e">
        <f ca="1"/>
        <v>#NAME?</v>
      </c>
      <c r="P7" t="e">
        <f ca="1"/>
        <v>#NAME?</v>
      </c>
      <c r="Q7" t="e">
        <f ca="1"/>
        <v>#NAME?</v>
      </c>
    </row>
    <row r="8" spans="1:17">
      <c r="A8" t="e">
        <f ca="1"/>
        <v>#NAME?</v>
      </c>
      <c r="B8" t="e">
        <f ca="1"/>
        <v>#NAME?</v>
      </c>
      <c r="C8" t="e">
        <f ca="1"/>
        <v>#NAME?</v>
      </c>
      <c r="D8" t="e">
        <f ca="1"/>
        <v>#NAME?</v>
      </c>
      <c r="E8" t="e">
        <f ca="1"/>
        <v>#NAME?</v>
      </c>
      <c r="F8" t="e">
        <f ca="1"/>
        <v>#NAME?</v>
      </c>
      <c r="G8" t="e">
        <f ca="1"/>
        <v>#NAME?</v>
      </c>
      <c r="H8" t="e">
        <f ca="1"/>
        <v>#NAME?</v>
      </c>
      <c r="I8" t="e">
        <f ca="1"/>
        <v>#NAME?</v>
      </c>
      <c r="J8" t="e">
        <f ca="1"/>
        <v>#NAME?</v>
      </c>
      <c r="K8" t="e">
        <f ca="1"/>
        <v>#NAME?</v>
      </c>
      <c r="L8" t="e">
        <f ca="1"/>
        <v>#NAME?</v>
      </c>
      <c r="M8" t="e">
        <f ca="1"/>
        <v>#NAME?</v>
      </c>
      <c r="N8" t="e">
        <f ca="1"/>
        <v>#NAME?</v>
      </c>
      <c r="O8" t="e">
        <f ca="1"/>
        <v>#NAME?</v>
      </c>
      <c r="P8" t="e">
        <f ca="1"/>
        <v>#NAME?</v>
      </c>
      <c r="Q8" t="e">
        <f ca="1"/>
        <v>#NAME?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2"/>
  <sheetViews>
    <sheetView workbookViewId="0">
      <selection activeCell="A2" sqref="A2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" ca="1">_xlfn._xlws.FILTER(Specifications!B2:R99991, Specifications!A2:A99991 = "Spain", "")</f>
        <v>#NAME?</v>
      </c>
    </row>
  </sheetData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2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" ca="1">_xlfn._xlws.FILTER(Specifications!B2:R99991, Specifications!A2:A99991 = "Sweden", "")</f>
        <v>#NAME?</v>
      </c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2"/>
  <sheetViews>
    <sheetView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" ca="1">_xlfn._xlws.FILTER(Specifications!B2:R99991, Specifications!A2:A99991 = "Turkey", "")</f>
        <v>#NAME?</v>
      </c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3"/>
  <sheetViews>
    <sheetView workbookViewId="0">
      <selection activeCell="A2" sqref="A2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:Q3" ca="1">_xlfn._xlws.FILTER(Specifications!B2:R99991, Specifications!A2:A99991 = "UK", "")</f>
        <v>#NAME?</v>
      </c>
      <c r="B2" t="e">
        <f ca="1"/>
        <v>#NAME?</v>
      </c>
      <c r="C2" t="e">
        <f ca="1"/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  <c r="M2" t="e">
        <f ca="1"/>
        <v>#NAME?</v>
      </c>
      <c r="N2" t="e">
        <f ca="1"/>
        <v>#NAME?</v>
      </c>
      <c r="O2" t="e">
        <f ca="1"/>
        <v>#NAME?</v>
      </c>
      <c r="P2" t="e">
        <f ca="1"/>
        <v>#NAME?</v>
      </c>
      <c r="Q2" t="e">
        <f ca="1"/>
        <v>#NAME?</v>
      </c>
    </row>
    <row r="3" spans="1:17">
      <c r="A3" t="e">
        <f ca="1"/>
        <v>#NAME?</v>
      </c>
      <c r="B3" t="e">
        <f ca="1"/>
        <v>#NAME?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  <c r="M3" t="e">
        <f ca="1"/>
        <v>#NAME?</v>
      </c>
      <c r="N3" t="e">
        <f ca="1"/>
        <v>#NAME?</v>
      </c>
      <c r="O3" t="e">
        <f ca="1"/>
        <v>#NAME?</v>
      </c>
      <c r="P3" t="e">
        <f ca="1"/>
        <v>#NAME?</v>
      </c>
      <c r="Q3" t="e">
        <f ca="1"/>
        <v>#NAME?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92"/>
  <sheetViews>
    <sheetView topLeftCell="A27" zoomScale="46" workbookViewId="0">
      <selection activeCell="A3" sqref="A3"/>
    </sheetView>
  </sheetViews>
  <sheetFormatPr defaultRowHeight="14.25"/>
  <sheetData>
    <row r="1" spans="1:17" ht="18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109</v>
      </c>
      <c r="I1" s="5" t="s">
        <v>110</v>
      </c>
      <c r="J1" s="2" t="s">
        <v>59</v>
      </c>
      <c r="K1" s="2" t="s">
        <v>15</v>
      </c>
      <c r="L1" s="2" t="s">
        <v>7</v>
      </c>
      <c r="M1" s="2" t="s">
        <v>8</v>
      </c>
      <c r="N1" s="2" t="s">
        <v>111</v>
      </c>
      <c r="O1" s="2" t="s">
        <v>112</v>
      </c>
      <c r="P1" s="2" t="s">
        <v>6</v>
      </c>
      <c r="Q1" s="2" t="s">
        <v>9</v>
      </c>
    </row>
    <row r="2" spans="1:17">
      <c r="A2" t="e" cm="1">
        <f t="array" aca="1" ref="A2:Q92" ca="1">_xlfn._xlws.FILTER(Specifications!B2:R99991, Specifications!A2:A99991 = "USA", "")</f>
        <v>#NAME?</v>
      </c>
      <c r="B2" t="e">
        <f ca="1"/>
        <v>#NAME?</v>
      </c>
      <c r="C2" t="e">
        <f ca="1"/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  <c r="M2" t="e">
        <f ca="1"/>
        <v>#NAME?</v>
      </c>
      <c r="N2" t="e">
        <f ca="1"/>
        <v>#NAME?</v>
      </c>
      <c r="O2" t="e">
        <f ca="1"/>
        <v>#NAME?</v>
      </c>
      <c r="P2" t="e">
        <f ca="1"/>
        <v>#NAME?</v>
      </c>
      <c r="Q2" t="e">
        <f ca="1"/>
        <v>#NAME?</v>
      </c>
    </row>
    <row r="3" spans="1:17">
      <c r="A3" t="e">
        <f ca="1"/>
        <v>#NAME?</v>
      </c>
      <c r="B3" t="e">
        <f ca="1"/>
        <v>#NAME?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  <c r="M3" t="e">
        <f ca="1"/>
        <v>#NAME?</v>
      </c>
      <c r="N3" t="e">
        <f ca="1"/>
        <v>#NAME?</v>
      </c>
      <c r="O3" t="e">
        <f ca="1"/>
        <v>#NAME?</v>
      </c>
      <c r="P3" t="e">
        <f ca="1"/>
        <v>#NAME?</v>
      </c>
      <c r="Q3" t="e">
        <f ca="1"/>
        <v>#NAME?</v>
      </c>
    </row>
    <row r="4" spans="1:17">
      <c r="A4" t="e">
        <f ca="1"/>
        <v>#NAME?</v>
      </c>
      <c r="B4" t="e">
        <f ca="1"/>
        <v>#NAME?</v>
      </c>
      <c r="C4" t="e">
        <f ca="1"/>
        <v>#NAME?</v>
      </c>
      <c r="D4" t="e">
        <f ca="1"/>
        <v>#NAME?</v>
      </c>
      <c r="E4" t="e">
        <f ca="1"/>
        <v>#NAME?</v>
      </c>
      <c r="F4" t="e">
        <f ca="1"/>
        <v>#NAME?</v>
      </c>
      <c r="G4" t="e">
        <f ca="1"/>
        <v>#NAME?</v>
      </c>
      <c r="H4" t="e">
        <f ca="1"/>
        <v>#NAME?</v>
      </c>
      <c r="I4" t="e">
        <f ca="1"/>
        <v>#NAME?</v>
      </c>
      <c r="J4" t="e">
        <f ca="1"/>
        <v>#NAME?</v>
      </c>
      <c r="K4" t="e">
        <f ca="1"/>
        <v>#NAME?</v>
      </c>
      <c r="L4" t="e">
        <f ca="1"/>
        <v>#NAME?</v>
      </c>
      <c r="M4" t="e">
        <f ca="1"/>
        <v>#NAME?</v>
      </c>
      <c r="N4" t="e">
        <f ca="1"/>
        <v>#NAME?</v>
      </c>
      <c r="O4" t="e">
        <f ca="1"/>
        <v>#NAME?</v>
      </c>
      <c r="P4" t="e">
        <f ca="1"/>
        <v>#NAME?</v>
      </c>
      <c r="Q4" t="e">
        <f ca="1"/>
        <v>#NAME?</v>
      </c>
    </row>
    <row r="5" spans="1:17">
      <c r="A5" t="e">
        <f ca="1"/>
        <v>#NAME?</v>
      </c>
      <c r="B5" t="e">
        <f ca="1"/>
        <v>#NAME?</v>
      </c>
      <c r="C5" t="e">
        <f ca="1"/>
        <v>#NAME?</v>
      </c>
      <c r="D5" t="e">
        <f ca="1"/>
        <v>#NAME?</v>
      </c>
      <c r="E5" t="e">
        <f ca="1"/>
        <v>#NAME?</v>
      </c>
      <c r="F5" t="e">
        <f ca="1"/>
        <v>#NAME?</v>
      </c>
      <c r="G5" t="e">
        <f ca="1"/>
        <v>#NAME?</v>
      </c>
      <c r="H5" t="e">
        <f ca="1"/>
        <v>#NAME?</v>
      </c>
      <c r="I5" t="e">
        <f ca="1"/>
        <v>#NAME?</v>
      </c>
      <c r="J5" t="e">
        <f ca="1"/>
        <v>#NAME?</v>
      </c>
      <c r="K5" t="e">
        <f ca="1"/>
        <v>#NAME?</v>
      </c>
      <c r="L5" t="e">
        <f ca="1"/>
        <v>#NAME?</v>
      </c>
      <c r="M5" t="e">
        <f ca="1"/>
        <v>#NAME?</v>
      </c>
      <c r="N5" t="e">
        <f ca="1"/>
        <v>#NAME?</v>
      </c>
      <c r="O5" t="e">
        <f ca="1"/>
        <v>#NAME?</v>
      </c>
      <c r="P5" t="e">
        <f ca="1"/>
        <v>#NAME?</v>
      </c>
      <c r="Q5" t="e">
        <f ca="1"/>
        <v>#NAME?</v>
      </c>
    </row>
    <row r="6" spans="1:17">
      <c r="A6" t="e">
        <f ca="1"/>
        <v>#NAME?</v>
      </c>
      <c r="B6" t="e">
        <f ca="1"/>
        <v>#NAME?</v>
      </c>
      <c r="C6" t="e">
        <f ca="1"/>
        <v>#NAME?</v>
      </c>
      <c r="D6" t="e">
        <f ca="1"/>
        <v>#NAME?</v>
      </c>
      <c r="E6" t="e">
        <f ca="1"/>
        <v>#NAME?</v>
      </c>
      <c r="F6" t="e">
        <f ca="1"/>
        <v>#NAME?</v>
      </c>
      <c r="G6" t="e">
        <f ca="1"/>
        <v>#NAME?</v>
      </c>
      <c r="H6" t="e">
        <f ca="1"/>
        <v>#NAME?</v>
      </c>
      <c r="I6" t="e">
        <f ca="1"/>
        <v>#NAME?</v>
      </c>
      <c r="J6" t="e">
        <f ca="1"/>
        <v>#NAME?</v>
      </c>
      <c r="K6" t="e">
        <f ca="1"/>
        <v>#NAME?</v>
      </c>
      <c r="L6" t="e">
        <f ca="1"/>
        <v>#NAME?</v>
      </c>
      <c r="M6" t="e">
        <f ca="1"/>
        <v>#NAME?</v>
      </c>
      <c r="N6" t="e">
        <f ca="1"/>
        <v>#NAME?</v>
      </c>
      <c r="O6" t="e">
        <f ca="1"/>
        <v>#NAME?</v>
      </c>
      <c r="P6" t="e">
        <f ca="1"/>
        <v>#NAME?</v>
      </c>
      <c r="Q6" t="e">
        <f ca="1"/>
        <v>#NAME?</v>
      </c>
    </row>
    <row r="7" spans="1:17">
      <c r="A7" t="e">
        <f ca="1"/>
        <v>#NAME?</v>
      </c>
      <c r="B7" t="e">
        <f ca="1"/>
        <v>#NAME?</v>
      </c>
      <c r="C7" t="e">
        <f ca="1"/>
        <v>#NAME?</v>
      </c>
      <c r="D7" t="e">
        <f ca="1"/>
        <v>#NAME?</v>
      </c>
      <c r="E7" t="e">
        <f ca="1"/>
        <v>#NAME?</v>
      </c>
      <c r="F7" t="e">
        <f ca="1"/>
        <v>#NAME?</v>
      </c>
      <c r="G7" t="e">
        <f ca="1"/>
        <v>#NAME?</v>
      </c>
      <c r="H7" t="e">
        <f ca="1"/>
        <v>#NAME?</v>
      </c>
      <c r="I7" t="e">
        <f ca="1"/>
        <v>#NAME?</v>
      </c>
      <c r="J7" t="e">
        <f ca="1"/>
        <v>#NAME?</v>
      </c>
      <c r="K7" t="e">
        <f ca="1"/>
        <v>#NAME?</v>
      </c>
      <c r="L7" t="e">
        <f ca="1"/>
        <v>#NAME?</v>
      </c>
      <c r="M7" t="e">
        <f ca="1"/>
        <v>#NAME?</v>
      </c>
      <c r="N7" t="e">
        <f ca="1"/>
        <v>#NAME?</v>
      </c>
      <c r="O7" t="e">
        <f ca="1"/>
        <v>#NAME?</v>
      </c>
      <c r="P7" t="e">
        <f ca="1"/>
        <v>#NAME?</v>
      </c>
      <c r="Q7" t="e">
        <f ca="1"/>
        <v>#NAME?</v>
      </c>
    </row>
    <row r="8" spans="1:17">
      <c r="A8" t="e">
        <f ca="1"/>
        <v>#NAME?</v>
      </c>
      <c r="B8" t="e">
        <f ca="1"/>
        <v>#NAME?</v>
      </c>
      <c r="C8" t="e">
        <f ca="1"/>
        <v>#NAME?</v>
      </c>
      <c r="D8" t="e">
        <f ca="1"/>
        <v>#NAME?</v>
      </c>
      <c r="E8" t="e">
        <f ca="1"/>
        <v>#NAME?</v>
      </c>
      <c r="F8" t="e">
        <f ca="1"/>
        <v>#NAME?</v>
      </c>
      <c r="G8" t="e">
        <f ca="1"/>
        <v>#NAME?</v>
      </c>
      <c r="H8" t="e">
        <f ca="1"/>
        <v>#NAME?</v>
      </c>
      <c r="I8" t="e">
        <f ca="1"/>
        <v>#NAME?</v>
      </c>
      <c r="J8" t="e">
        <f ca="1"/>
        <v>#NAME?</v>
      </c>
      <c r="K8" t="e">
        <f ca="1"/>
        <v>#NAME?</v>
      </c>
      <c r="L8" t="e">
        <f ca="1"/>
        <v>#NAME?</v>
      </c>
      <c r="M8" t="e">
        <f ca="1"/>
        <v>#NAME?</v>
      </c>
      <c r="N8" t="e">
        <f ca="1"/>
        <v>#NAME?</v>
      </c>
      <c r="O8" t="e">
        <f ca="1"/>
        <v>#NAME?</v>
      </c>
      <c r="P8" t="e">
        <f ca="1"/>
        <v>#NAME?</v>
      </c>
      <c r="Q8" t="e">
        <f ca="1"/>
        <v>#NAME?</v>
      </c>
    </row>
    <row r="9" spans="1:17">
      <c r="A9" t="e">
        <f ca="1"/>
        <v>#NAME?</v>
      </c>
      <c r="B9" t="e">
        <f ca="1"/>
        <v>#NAME?</v>
      </c>
      <c r="C9" t="e">
        <f ca="1"/>
        <v>#NAME?</v>
      </c>
      <c r="D9" t="e">
        <f ca="1"/>
        <v>#NAME?</v>
      </c>
      <c r="E9" t="e">
        <f ca="1"/>
        <v>#NAME?</v>
      </c>
      <c r="F9" t="e">
        <f ca="1"/>
        <v>#NAME?</v>
      </c>
      <c r="G9" t="e">
        <f ca="1"/>
        <v>#NAME?</v>
      </c>
      <c r="H9" t="e">
        <f ca="1"/>
        <v>#NAME?</v>
      </c>
      <c r="I9" t="e">
        <f ca="1"/>
        <v>#NAME?</v>
      </c>
      <c r="J9" t="e">
        <f ca="1"/>
        <v>#NAME?</v>
      </c>
      <c r="K9" t="e">
        <f ca="1"/>
        <v>#NAME?</v>
      </c>
      <c r="L9" t="e">
        <f ca="1"/>
        <v>#NAME?</v>
      </c>
      <c r="M9" t="e">
        <f ca="1"/>
        <v>#NAME?</v>
      </c>
      <c r="N9" t="e">
        <f ca="1"/>
        <v>#NAME?</v>
      </c>
      <c r="O9" t="e">
        <f ca="1"/>
        <v>#NAME?</v>
      </c>
      <c r="P9" t="e">
        <f ca="1"/>
        <v>#NAME?</v>
      </c>
      <c r="Q9" t="e">
        <f ca="1"/>
        <v>#NAME?</v>
      </c>
    </row>
    <row r="10" spans="1:17">
      <c r="A10" t="e">
        <f ca="1"/>
        <v>#NAME?</v>
      </c>
      <c r="B10" t="e">
        <f ca="1"/>
        <v>#NAME?</v>
      </c>
      <c r="C10" t="e">
        <f ca="1"/>
        <v>#NAME?</v>
      </c>
      <c r="D10" t="e">
        <f ca="1"/>
        <v>#NAME?</v>
      </c>
      <c r="E10" t="e">
        <f ca="1"/>
        <v>#NAME?</v>
      </c>
      <c r="F10" t="e">
        <f ca="1"/>
        <v>#NAME?</v>
      </c>
      <c r="G10" t="e">
        <f ca="1"/>
        <v>#NAME?</v>
      </c>
      <c r="H10" t="e">
        <f ca="1"/>
        <v>#NAME?</v>
      </c>
      <c r="I10" t="e">
        <f ca="1"/>
        <v>#NAME?</v>
      </c>
      <c r="J10" t="e">
        <f ca="1"/>
        <v>#NAME?</v>
      </c>
      <c r="K10" t="e">
        <f ca="1"/>
        <v>#NAME?</v>
      </c>
      <c r="L10" t="e">
        <f ca="1"/>
        <v>#NAME?</v>
      </c>
      <c r="M10" t="e">
        <f ca="1"/>
        <v>#NAME?</v>
      </c>
      <c r="N10" t="e">
        <f ca="1"/>
        <v>#NAME?</v>
      </c>
      <c r="O10" t="e">
        <f ca="1"/>
        <v>#NAME?</v>
      </c>
      <c r="P10" t="e">
        <f ca="1"/>
        <v>#NAME?</v>
      </c>
      <c r="Q10" t="e">
        <f ca="1"/>
        <v>#NAME?</v>
      </c>
    </row>
    <row r="11" spans="1:17">
      <c r="A11" t="e">
        <f ca="1"/>
        <v>#NAME?</v>
      </c>
      <c r="B11" t="e">
        <f ca="1"/>
        <v>#NAME?</v>
      </c>
      <c r="C11" t="e">
        <f ca="1"/>
        <v>#NAME?</v>
      </c>
      <c r="D11" t="e">
        <f ca="1"/>
        <v>#NAME?</v>
      </c>
      <c r="E11" t="e">
        <f ca="1"/>
        <v>#NAME?</v>
      </c>
      <c r="F11" t="e">
        <f ca="1"/>
        <v>#NAME?</v>
      </c>
      <c r="G11" t="e">
        <f ca="1"/>
        <v>#NAME?</v>
      </c>
      <c r="H11" t="e">
        <f ca="1"/>
        <v>#NAME?</v>
      </c>
      <c r="I11" t="e">
        <f ca="1"/>
        <v>#NAME?</v>
      </c>
      <c r="J11" t="e">
        <f ca="1"/>
        <v>#NAME?</v>
      </c>
      <c r="K11" t="e">
        <f ca="1"/>
        <v>#NAME?</v>
      </c>
      <c r="L11" t="e">
        <f ca="1"/>
        <v>#NAME?</v>
      </c>
      <c r="M11" t="e">
        <f ca="1"/>
        <v>#NAME?</v>
      </c>
      <c r="N11" t="e">
        <f ca="1"/>
        <v>#NAME?</v>
      </c>
      <c r="O11" t="e">
        <f ca="1"/>
        <v>#NAME?</v>
      </c>
      <c r="P11" t="e">
        <f ca="1"/>
        <v>#NAME?</v>
      </c>
      <c r="Q11" t="e">
        <f ca="1"/>
        <v>#NAME?</v>
      </c>
    </row>
    <row r="12" spans="1:17">
      <c r="A12" t="e">
        <f ca="1"/>
        <v>#NAME?</v>
      </c>
      <c r="B12" t="e">
        <f ca="1"/>
        <v>#NAME?</v>
      </c>
      <c r="C12" t="e">
        <f ca="1"/>
        <v>#NAME?</v>
      </c>
      <c r="D12" t="e">
        <f ca="1"/>
        <v>#NAME?</v>
      </c>
      <c r="E12" t="e">
        <f ca="1"/>
        <v>#NAME?</v>
      </c>
      <c r="F12" t="e">
        <f ca="1"/>
        <v>#NAME?</v>
      </c>
      <c r="G12" t="e">
        <f ca="1"/>
        <v>#NAME?</v>
      </c>
      <c r="H12" t="e">
        <f ca="1"/>
        <v>#NAME?</v>
      </c>
      <c r="I12" t="e">
        <f ca="1"/>
        <v>#NAME?</v>
      </c>
      <c r="J12" t="e">
        <f ca="1"/>
        <v>#NAME?</v>
      </c>
      <c r="K12" t="e">
        <f ca="1"/>
        <v>#NAME?</v>
      </c>
      <c r="L12" t="e">
        <f ca="1"/>
        <v>#NAME?</v>
      </c>
      <c r="M12" t="e">
        <f ca="1"/>
        <v>#NAME?</v>
      </c>
      <c r="N12" t="e">
        <f ca="1"/>
        <v>#NAME?</v>
      </c>
      <c r="O12" t="e">
        <f ca="1"/>
        <v>#NAME?</v>
      </c>
      <c r="P12" t="e">
        <f ca="1"/>
        <v>#NAME?</v>
      </c>
      <c r="Q12" t="e">
        <f ca="1"/>
        <v>#NAME?</v>
      </c>
    </row>
    <row r="13" spans="1:17">
      <c r="A13" t="e">
        <f ca="1"/>
        <v>#NAME?</v>
      </c>
      <c r="B13" t="e">
        <f ca="1"/>
        <v>#NAME?</v>
      </c>
      <c r="C13" t="e">
        <f ca="1"/>
        <v>#NAME?</v>
      </c>
      <c r="D13" t="e">
        <f ca="1"/>
        <v>#NAME?</v>
      </c>
      <c r="E13" t="e">
        <f ca="1"/>
        <v>#NAME?</v>
      </c>
      <c r="F13" t="e">
        <f ca="1"/>
        <v>#NAME?</v>
      </c>
      <c r="G13" t="e">
        <f ca="1"/>
        <v>#NAME?</v>
      </c>
      <c r="H13" t="e">
        <f ca="1"/>
        <v>#NAME?</v>
      </c>
      <c r="I13" t="e">
        <f ca="1"/>
        <v>#NAME?</v>
      </c>
      <c r="J13" t="e">
        <f ca="1"/>
        <v>#NAME?</v>
      </c>
      <c r="K13" t="e">
        <f ca="1"/>
        <v>#NAME?</v>
      </c>
      <c r="L13" t="e">
        <f ca="1"/>
        <v>#NAME?</v>
      </c>
      <c r="M13" t="e">
        <f ca="1"/>
        <v>#NAME?</v>
      </c>
      <c r="N13" t="e">
        <f ca="1"/>
        <v>#NAME?</v>
      </c>
      <c r="O13" t="e">
        <f ca="1"/>
        <v>#NAME?</v>
      </c>
      <c r="P13" t="e">
        <f ca="1"/>
        <v>#NAME?</v>
      </c>
      <c r="Q13" t="e">
        <f ca="1"/>
        <v>#NAME?</v>
      </c>
    </row>
    <row r="14" spans="1:17">
      <c r="A14" t="e">
        <f ca="1"/>
        <v>#NAME?</v>
      </c>
      <c r="B14" t="e">
        <f ca="1"/>
        <v>#NAME?</v>
      </c>
      <c r="C14" t="e">
        <f ca="1"/>
        <v>#NAME?</v>
      </c>
      <c r="D14" t="e">
        <f ca="1"/>
        <v>#NAME?</v>
      </c>
      <c r="E14" t="e">
        <f ca="1"/>
        <v>#NAME?</v>
      </c>
      <c r="F14" t="e">
        <f ca="1"/>
        <v>#NAME?</v>
      </c>
      <c r="G14" t="e">
        <f ca="1"/>
        <v>#NAME?</v>
      </c>
      <c r="H14" t="e">
        <f ca="1"/>
        <v>#NAME?</v>
      </c>
      <c r="I14" t="e">
        <f ca="1"/>
        <v>#NAME?</v>
      </c>
      <c r="J14" t="e">
        <f ca="1"/>
        <v>#NAME?</v>
      </c>
      <c r="K14" t="e">
        <f ca="1"/>
        <v>#NAME?</v>
      </c>
      <c r="L14" t="e">
        <f ca="1"/>
        <v>#NAME?</v>
      </c>
      <c r="M14" t="e">
        <f ca="1"/>
        <v>#NAME?</v>
      </c>
      <c r="N14" t="e">
        <f ca="1"/>
        <v>#NAME?</v>
      </c>
      <c r="O14" t="e">
        <f ca="1"/>
        <v>#NAME?</v>
      </c>
      <c r="P14" t="e">
        <f ca="1"/>
        <v>#NAME?</v>
      </c>
      <c r="Q14" t="e">
        <f ca="1"/>
        <v>#NAME?</v>
      </c>
    </row>
    <row r="15" spans="1:17">
      <c r="A15" t="e">
        <f ca="1"/>
        <v>#NAME?</v>
      </c>
      <c r="B15" t="e">
        <f ca="1"/>
        <v>#NAME?</v>
      </c>
      <c r="C15" t="e">
        <f ca="1"/>
        <v>#NAME?</v>
      </c>
      <c r="D15" t="e">
        <f ca="1"/>
        <v>#NAME?</v>
      </c>
      <c r="E15" t="e">
        <f ca="1"/>
        <v>#NAME?</v>
      </c>
      <c r="F15" t="e">
        <f ca="1"/>
        <v>#NAME?</v>
      </c>
      <c r="G15" t="e">
        <f ca="1"/>
        <v>#NAME?</v>
      </c>
      <c r="H15" t="e">
        <f ca="1"/>
        <v>#NAME?</v>
      </c>
      <c r="I15" t="e">
        <f ca="1"/>
        <v>#NAME?</v>
      </c>
      <c r="J15" t="e">
        <f ca="1"/>
        <v>#NAME?</v>
      </c>
      <c r="K15" t="e">
        <f ca="1"/>
        <v>#NAME?</v>
      </c>
      <c r="L15" t="e">
        <f ca="1"/>
        <v>#NAME?</v>
      </c>
      <c r="M15" t="e">
        <f ca="1"/>
        <v>#NAME?</v>
      </c>
      <c r="N15" t="e">
        <f ca="1"/>
        <v>#NAME?</v>
      </c>
      <c r="O15" t="e">
        <f ca="1"/>
        <v>#NAME?</v>
      </c>
      <c r="P15" t="e">
        <f ca="1"/>
        <v>#NAME?</v>
      </c>
      <c r="Q15" t="e">
        <f ca="1"/>
        <v>#NAME?</v>
      </c>
    </row>
    <row r="16" spans="1:17">
      <c r="A16" t="e">
        <f ca="1"/>
        <v>#NAME?</v>
      </c>
      <c r="B16" t="e">
        <f ca="1"/>
        <v>#NAME?</v>
      </c>
      <c r="C16" t="e">
        <f ca="1"/>
        <v>#NAME?</v>
      </c>
      <c r="D16" t="e">
        <f ca="1"/>
        <v>#NAME?</v>
      </c>
      <c r="E16" t="e">
        <f ca="1"/>
        <v>#NAME?</v>
      </c>
      <c r="F16" t="e">
        <f ca="1"/>
        <v>#NAME?</v>
      </c>
      <c r="G16" t="e">
        <f ca="1"/>
        <v>#NAME?</v>
      </c>
      <c r="H16" t="e">
        <f ca="1"/>
        <v>#NAME?</v>
      </c>
      <c r="I16" t="e">
        <f ca="1"/>
        <v>#NAME?</v>
      </c>
      <c r="J16" t="e">
        <f ca="1"/>
        <v>#NAME?</v>
      </c>
      <c r="K16" t="e">
        <f ca="1"/>
        <v>#NAME?</v>
      </c>
      <c r="L16" t="e">
        <f ca="1"/>
        <v>#NAME?</v>
      </c>
      <c r="M16" t="e">
        <f ca="1"/>
        <v>#NAME?</v>
      </c>
      <c r="N16" t="e">
        <f ca="1"/>
        <v>#NAME?</v>
      </c>
      <c r="O16" t="e">
        <f ca="1"/>
        <v>#NAME?</v>
      </c>
      <c r="P16" t="e">
        <f ca="1"/>
        <v>#NAME?</v>
      </c>
      <c r="Q16" t="e">
        <f ca="1"/>
        <v>#NAME?</v>
      </c>
    </row>
    <row r="17" spans="1:17">
      <c r="A17" t="e">
        <f ca="1"/>
        <v>#NAME?</v>
      </c>
      <c r="B17" t="e">
        <f ca="1"/>
        <v>#NAME?</v>
      </c>
      <c r="C17" t="e">
        <f ca="1"/>
        <v>#NAME?</v>
      </c>
      <c r="D17" t="e">
        <f ca="1"/>
        <v>#NAME?</v>
      </c>
      <c r="E17" t="e">
        <f ca="1"/>
        <v>#NAME?</v>
      </c>
      <c r="F17" t="e">
        <f ca="1"/>
        <v>#NAME?</v>
      </c>
      <c r="G17" t="e">
        <f ca="1"/>
        <v>#NAME?</v>
      </c>
      <c r="H17" t="e">
        <f ca="1"/>
        <v>#NAME?</v>
      </c>
      <c r="I17" t="e">
        <f ca="1"/>
        <v>#NAME?</v>
      </c>
      <c r="J17" t="e">
        <f ca="1"/>
        <v>#NAME?</v>
      </c>
      <c r="K17" t="e">
        <f ca="1"/>
        <v>#NAME?</v>
      </c>
      <c r="L17" t="e">
        <f ca="1"/>
        <v>#NAME?</v>
      </c>
      <c r="M17" t="e">
        <f ca="1"/>
        <v>#NAME?</v>
      </c>
      <c r="N17" t="e">
        <f ca="1"/>
        <v>#NAME?</v>
      </c>
      <c r="O17" t="e">
        <f ca="1"/>
        <v>#NAME?</v>
      </c>
      <c r="P17" t="e">
        <f ca="1"/>
        <v>#NAME?</v>
      </c>
      <c r="Q17" t="e">
        <f ca="1"/>
        <v>#NAME?</v>
      </c>
    </row>
    <row r="18" spans="1:17">
      <c r="A18" t="e">
        <f ca="1"/>
        <v>#NAME?</v>
      </c>
      <c r="B18" t="e">
        <f ca="1"/>
        <v>#NAME?</v>
      </c>
      <c r="C18" t="e">
        <f ca="1"/>
        <v>#NAME?</v>
      </c>
      <c r="D18" t="e">
        <f ca="1"/>
        <v>#NAME?</v>
      </c>
      <c r="E18" t="e">
        <f ca="1"/>
        <v>#NAME?</v>
      </c>
      <c r="F18" t="e">
        <f ca="1"/>
        <v>#NAME?</v>
      </c>
      <c r="G18" t="e">
        <f ca="1"/>
        <v>#NAME?</v>
      </c>
      <c r="H18" t="e">
        <f ca="1"/>
        <v>#NAME?</v>
      </c>
      <c r="I18" t="e">
        <f ca="1"/>
        <v>#NAME?</v>
      </c>
      <c r="J18" t="e">
        <f ca="1"/>
        <v>#NAME?</v>
      </c>
      <c r="K18" t="e">
        <f ca="1"/>
        <v>#NAME?</v>
      </c>
      <c r="L18" t="e">
        <f ca="1"/>
        <v>#NAME?</v>
      </c>
      <c r="M18" t="e">
        <f ca="1"/>
        <v>#NAME?</v>
      </c>
      <c r="N18" t="e">
        <f ca="1"/>
        <v>#NAME?</v>
      </c>
      <c r="O18" t="e">
        <f ca="1"/>
        <v>#NAME?</v>
      </c>
      <c r="P18" t="e">
        <f ca="1"/>
        <v>#NAME?</v>
      </c>
      <c r="Q18" t="e">
        <f ca="1"/>
        <v>#NAME?</v>
      </c>
    </row>
    <row r="19" spans="1:17">
      <c r="A19" t="e">
        <f ca="1"/>
        <v>#NAME?</v>
      </c>
      <c r="B19" t="e">
        <f ca="1"/>
        <v>#NAME?</v>
      </c>
      <c r="C19" t="e">
        <f ca="1"/>
        <v>#NAME?</v>
      </c>
      <c r="D19" t="e">
        <f ca="1"/>
        <v>#NAME?</v>
      </c>
      <c r="E19" t="e">
        <f ca="1"/>
        <v>#NAME?</v>
      </c>
      <c r="F19" t="e">
        <f ca="1"/>
        <v>#NAME?</v>
      </c>
      <c r="G19" t="e">
        <f ca="1"/>
        <v>#NAME?</v>
      </c>
      <c r="H19" t="e">
        <f ca="1"/>
        <v>#NAME?</v>
      </c>
      <c r="I19" t="e">
        <f ca="1"/>
        <v>#NAME?</v>
      </c>
      <c r="J19" t="e">
        <f ca="1"/>
        <v>#NAME?</v>
      </c>
      <c r="K19" t="e">
        <f ca="1"/>
        <v>#NAME?</v>
      </c>
      <c r="L19" t="e">
        <f ca="1"/>
        <v>#NAME?</v>
      </c>
      <c r="M19" t="e">
        <f ca="1"/>
        <v>#NAME?</v>
      </c>
      <c r="N19" t="e">
        <f ca="1"/>
        <v>#NAME?</v>
      </c>
      <c r="O19" t="e">
        <f ca="1"/>
        <v>#NAME?</v>
      </c>
      <c r="P19" t="e">
        <f ca="1"/>
        <v>#NAME?</v>
      </c>
      <c r="Q19" t="e">
        <f ca="1"/>
        <v>#NAME?</v>
      </c>
    </row>
    <row r="20" spans="1:17">
      <c r="A20" t="e">
        <f ca="1"/>
        <v>#NAME?</v>
      </c>
      <c r="B20" t="e">
        <f ca="1"/>
        <v>#NAME?</v>
      </c>
      <c r="C20" t="e">
        <f ca="1"/>
        <v>#NAME?</v>
      </c>
      <c r="D20" t="e">
        <f ca="1"/>
        <v>#NAME?</v>
      </c>
      <c r="E20" t="e">
        <f ca="1"/>
        <v>#NAME?</v>
      </c>
      <c r="F20" t="e">
        <f ca="1"/>
        <v>#NAME?</v>
      </c>
      <c r="G20" t="e">
        <f ca="1"/>
        <v>#NAME?</v>
      </c>
      <c r="H20" t="e">
        <f ca="1"/>
        <v>#NAME?</v>
      </c>
      <c r="I20" t="e">
        <f ca="1"/>
        <v>#NAME?</v>
      </c>
      <c r="J20" t="e">
        <f ca="1"/>
        <v>#NAME?</v>
      </c>
      <c r="K20" t="e">
        <f ca="1"/>
        <v>#NAME?</v>
      </c>
      <c r="L20" t="e">
        <f ca="1"/>
        <v>#NAME?</v>
      </c>
      <c r="M20" t="e">
        <f ca="1"/>
        <v>#NAME?</v>
      </c>
      <c r="N20" t="e">
        <f ca="1"/>
        <v>#NAME?</v>
      </c>
      <c r="O20" t="e">
        <f ca="1"/>
        <v>#NAME?</v>
      </c>
      <c r="P20" t="e">
        <f ca="1"/>
        <v>#NAME?</v>
      </c>
      <c r="Q20" t="e">
        <f ca="1"/>
        <v>#NAME?</v>
      </c>
    </row>
    <row r="21" spans="1:17">
      <c r="A21" t="e">
        <f ca="1"/>
        <v>#NAME?</v>
      </c>
      <c r="B21" t="e">
        <f ca="1"/>
        <v>#NAME?</v>
      </c>
      <c r="C21" t="e">
        <f ca="1"/>
        <v>#NAME?</v>
      </c>
      <c r="D21" t="e">
        <f ca="1"/>
        <v>#NAME?</v>
      </c>
      <c r="E21" t="e">
        <f ca="1"/>
        <v>#NAME?</v>
      </c>
      <c r="F21" t="e">
        <f ca="1"/>
        <v>#NAME?</v>
      </c>
      <c r="G21" t="e">
        <f ca="1"/>
        <v>#NAME?</v>
      </c>
      <c r="H21" t="e">
        <f ca="1"/>
        <v>#NAME?</v>
      </c>
      <c r="I21" t="e">
        <f ca="1"/>
        <v>#NAME?</v>
      </c>
      <c r="J21" t="e">
        <f ca="1"/>
        <v>#NAME?</v>
      </c>
      <c r="K21" t="e">
        <f ca="1"/>
        <v>#NAME?</v>
      </c>
      <c r="L21" t="e">
        <f ca="1"/>
        <v>#NAME?</v>
      </c>
      <c r="M21" t="e">
        <f ca="1"/>
        <v>#NAME?</v>
      </c>
      <c r="N21" t="e">
        <f ca="1"/>
        <v>#NAME?</v>
      </c>
      <c r="O21" t="e">
        <f ca="1"/>
        <v>#NAME?</v>
      </c>
      <c r="P21" t="e">
        <f ca="1"/>
        <v>#NAME?</v>
      </c>
      <c r="Q21" t="e">
        <f ca="1"/>
        <v>#NAME?</v>
      </c>
    </row>
    <row r="22" spans="1:17">
      <c r="A22" t="e">
        <f ca="1"/>
        <v>#NAME?</v>
      </c>
      <c r="B22" t="e">
        <f ca="1"/>
        <v>#NAME?</v>
      </c>
      <c r="C22" t="e">
        <f ca="1"/>
        <v>#NAME?</v>
      </c>
      <c r="D22" t="e">
        <f ca="1"/>
        <v>#NAME?</v>
      </c>
      <c r="E22" t="e">
        <f ca="1"/>
        <v>#NAME?</v>
      </c>
      <c r="F22" t="e">
        <f ca="1"/>
        <v>#NAME?</v>
      </c>
      <c r="G22" t="e">
        <f ca="1"/>
        <v>#NAME?</v>
      </c>
      <c r="H22" t="e">
        <f ca="1"/>
        <v>#NAME?</v>
      </c>
      <c r="I22" t="e">
        <f ca="1"/>
        <v>#NAME?</v>
      </c>
      <c r="J22" t="e">
        <f ca="1"/>
        <v>#NAME?</v>
      </c>
      <c r="K22" t="e">
        <f ca="1"/>
        <v>#NAME?</v>
      </c>
      <c r="L22" t="e">
        <f ca="1"/>
        <v>#NAME?</v>
      </c>
      <c r="M22" t="e">
        <f ca="1"/>
        <v>#NAME?</v>
      </c>
      <c r="N22" t="e">
        <f ca="1"/>
        <v>#NAME?</v>
      </c>
      <c r="O22" t="e">
        <f ca="1"/>
        <v>#NAME?</v>
      </c>
      <c r="P22" t="e">
        <f ca="1"/>
        <v>#NAME?</v>
      </c>
      <c r="Q22" t="e">
        <f ca="1"/>
        <v>#NAME?</v>
      </c>
    </row>
    <row r="23" spans="1:17">
      <c r="A23" t="e">
        <f ca="1"/>
        <v>#NAME?</v>
      </c>
      <c r="B23" t="e">
        <f ca="1"/>
        <v>#NAME?</v>
      </c>
      <c r="C23" t="e">
        <f ca="1"/>
        <v>#NAME?</v>
      </c>
      <c r="D23" t="e">
        <f ca="1"/>
        <v>#NAME?</v>
      </c>
      <c r="E23" t="e">
        <f ca="1"/>
        <v>#NAME?</v>
      </c>
      <c r="F23" t="e">
        <f ca="1"/>
        <v>#NAME?</v>
      </c>
      <c r="G23" t="e">
        <f ca="1"/>
        <v>#NAME?</v>
      </c>
      <c r="H23" t="e">
        <f ca="1"/>
        <v>#NAME?</v>
      </c>
      <c r="I23" t="e">
        <f ca="1"/>
        <v>#NAME?</v>
      </c>
      <c r="J23" t="e">
        <f ca="1"/>
        <v>#NAME?</v>
      </c>
      <c r="K23" t="e">
        <f ca="1"/>
        <v>#NAME?</v>
      </c>
      <c r="L23" t="e">
        <f ca="1"/>
        <v>#NAME?</v>
      </c>
      <c r="M23" t="e">
        <f ca="1"/>
        <v>#NAME?</v>
      </c>
      <c r="N23" t="e">
        <f ca="1"/>
        <v>#NAME?</v>
      </c>
      <c r="O23" t="e">
        <f ca="1"/>
        <v>#NAME?</v>
      </c>
      <c r="P23" t="e">
        <f ca="1"/>
        <v>#NAME?</v>
      </c>
      <c r="Q23" t="e">
        <f ca="1"/>
        <v>#NAME?</v>
      </c>
    </row>
    <row r="24" spans="1:17">
      <c r="A24" t="e">
        <f ca="1"/>
        <v>#NAME?</v>
      </c>
      <c r="B24" t="e">
        <f ca="1"/>
        <v>#NAME?</v>
      </c>
      <c r="C24" t="e">
        <f ca="1"/>
        <v>#NAME?</v>
      </c>
      <c r="D24" t="e">
        <f ca="1"/>
        <v>#NAME?</v>
      </c>
      <c r="E24" t="e">
        <f ca="1"/>
        <v>#NAME?</v>
      </c>
      <c r="F24" t="e">
        <f ca="1"/>
        <v>#NAME?</v>
      </c>
      <c r="G24" t="e">
        <f ca="1"/>
        <v>#NAME?</v>
      </c>
      <c r="H24" t="e">
        <f ca="1"/>
        <v>#NAME?</v>
      </c>
      <c r="I24" t="e">
        <f ca="1"/>
        <v>#NAME?</v>
      </c>
      <c r="J24" t="e">
        <f ca="1"/>
        <v>#NAME?</v>
      </c>
      <c r="K24" t="e">
        <f ca="1"/>
        <v>#NAME?</v>
      </c>
      <c r="L24" t="e">
        <f ca="1"/>
        <v>#NAME?</v>
      </c>
      <c r="M24" t="e">
        <f ca="1"/>
        <v>#NAME?</v>
      </c>
      <c r="N24" t="e">
        <f ca="1"/>
        <v>#NAME?</v>
      </c>
      <c r="O24" t="e">
        <f ca="1"/>
        <v>#NAME?</v>
      </c>
      <c r="P24" t="e">
        <f ca="1"/>
        <v>#NAME?</v>
      </c>
      <c r="Q24" t="e">
        <f ca="1"/>
        <v>#NAME?</v>
      </c>
    </row>
    <row r="25" spans="1:17">
      <c r="A25" t="e">
        <f ca="1"/>
        <v>#NAME?</v>
      </c>
      <c r="B25" t="e">
        <f ca="1"/>
        <v>#NAME?</v>
      </c>
      <c r="C25" t="e">
        <f ca="1"/>
        <v>#NAME?</v>
      </c>
      <c r="D25" t="e">
        <f ca="1"/>
        <v>#NAME?</v>
      </c>
      <c r="E25" t="e">
        <f ca="1"/>
        <v>#NAME?</v>
      </c>
      <c r="F25" t="e">
        <f ca="1"/>
        <v>#NAME?</v>
      </c>
      <c r="G25" t="e">
        <f ca="1"/>
        <v>#NAME?</v>
      </c>
      <c r="H25" t="e">
        <f ca="1"/>
        <v>#NAME?</v>
      </c>
      <c r="I25" t="e">
        <f ca="1"/>
        <v>#NAME?</v>
      </c>
      <c r="J25" t="e">
        <f ca="1"/>
        <v>#NAME?</v>
      </c>
      <c r="K25" t="e">
        <f ca="1"/>
        <v>#NAME?</v>
      </c>
      <c r="L25" t="e">
        <f ca="1"/>
        <v>#NAME?</v>
      </c>
      <c r="M25" t="e">
        <f ca="1"/>
        <v>#NAME?</v>
      </c>
      <c r="N25" t="e">
        <f ca="1"/>
        <v>#NAME?</v>
      </c>
      <c r="O25" t="e">
        <f ca="1"/>
        <v>#NAME?</v>
      </c>
      <c r="P25" t="e">
        <f ca="1"/>
        <v>#NAME?</v>
      </c>
      <c r="Q25" t="e">
        <f ca="1"/>
        <v>#NAME?</v>
      </c>
    </row>
    <row r="26" spans="1:17">
      <c r="A26" t="e">
        <f ca="1"/>
        <v>#NAME?</v>
      </c>
      <c r="B26" t="e">
        <f ca="1"/>
        <v>#NAME?</v>
      </c>
      <c r="C26" t="e">
        <f ca="1"/>
        <v>#NAME?</v>
      </c>
      <c r="D26" t="e">
        <f ca="1"/>
        <v>#NAME?</v>
      </c>
      <c r="E26" t="e">
        <f ca="1"/>
        <v>#NAME?</v>
      </c>
      <c r="F26" t="e">
        <f ca="1"/>
        <v>#NAME?</v>
      </c>
      <c r="G26" t="e">
        <f ca="1"/>
        <v>#NAME?</v>
      </c>
      <c r="H26" t="e">
        <f ca="1"/>
        <v>#NAME?</v>
      </c>
      <c r="I26" t="e">
        <f ca="1"/>
        <v>#NAME?</v>
      </c>
      <c r="J26" t="e">
        <f ca="1"/>
        <v>#NAME?</v>
      </c>
      <c r="K26" t="e">
        <f ca="1"/>
        <v>#NAME?</v>
      </c>
      <c r="L26" t="e">
        <f ca="1"/>
        <v>#NAME?</v>
      </c>
      <c r="M26" t="e">
        <f ca="1"/>
        <v>#NAME?</v>
      </c>
      <c r="N26" t="e">
        <f ca="1"/>
        <v>#NAME?</v>
      </c>
      <c r="O26" t="e">
        <f ca="1"/>
        <v>#NAME?</v>
      </c>
      <c r="P26" t="e">
        <f ca="1"/>
        <v>#NAME?</v>
      </c>
      <c r="Q26" t="e">
        <f ca="1"/>
        <v>#NAME?</v>
      </c>
    </row>
    <row r="27" spans="1:17">
      <c r="A27" t="e">
        <f ca="1"/>
        <v>#NAME?</v>
      </c>
      <c r="B27" t="e">
        <f ca="1"/>
        <v>#NAME?</v>
      </c>
      <c r="C27" t="e">
        <f ca="1"/>
        <v>#NAME?</v>
      </c>
      <c r="D27" t="e">
        <f ca="1"/>
        <v>#NAME?</v>
      </c>
      <c r="E27" t="e">
        <f ca="1"/>
        <v>#NAME?</v>
      </c>
      <c r="F27" t="e">
        <f ca="1"/>
        <v>#NAME?</v>
      </c>
      <c r="G27" t="e">
        <f ca="1"/>
        <v>#NAME?</v>
      </c>
      <c r="H27" t="e">
        <f ca="1"/>
        <v>#NAME?</v>
      </c>
      <c r="I27" t="e">
        <f ca="1"/>
        <v>#NAME?</v>
      </c>
      <c r="J27" t="e">
        <f ca="1"/>
        <v>#NAME?</v>
      </c>
      <c r="K27" t="e">
        <f ca="1"/>
        <v>#NAME?</v>
      </c>
      <c r="L27" t="e">
        <f ca="1"/>
        <v>#NAME?</v>
      </c>
      <c r="M27" t="e">
        <f ca="1"/>
        <v>#NAME?</v>
      </c>
      <c r="N27" t="e">
        <f ca="1"/>
        <v>#NAME?</v>
      </c>
      <c r="O27" t="e">
        <f ca="1"/>
        <v>#NAME?</v>
      </c>
      <c r="P27" t="e">
        <f ca="1"/>
        <v>#NAME?</v>
      </c>
      <c r="Q27" t="e">
        <f ca="1"/>
        <v>#NAME?</v>
      </c>
    </row>
    <row r="28" spans="1:17">
      <c r="A28" t="e">
        <f ca="1"/>
        <v>#NAME?</v>
      </c>
      <c r="B28" t="e">
        <f ca="1"/>
        <v>#NAME?</v>
      </c>
      <c r="C28" t="e">
        <f ca="1"/>
        <v>#NAME?</v>
      </c>
      <c r="D28" t="e">
        <f ca="1"/>
        <v>#NAME?</v>
      </c>
      <c r="E28" t="e">
        <f ca="1"/>
        <v>#NAME?</v>
      </c>
      <c r="F28" t="e">
        <f ca="1"/>
        <v>#NAME?</v>
      </c>
      <c r="G28" t="e">
        <f ca="1"/>
        <v>#NAME?</v>
      </c>
      <c r="H28" t="e">
        <f ca="1"/>
        <v>#NAME?</v>
      </c>
      <c r="I28" t="e">
        <f ca="1"/>
        <v>#NAME?</v>
      </c>
      <c r="J28" t="e">
        <f ca="1"/>
        <v>#NAME?</v>
      </c>
      <c r="K28" t="e">
        <f ca="1"/>
        <v>#NAME?</v>
      </c>
      <c r="L28" t="e">
        <f ca="1"/>
        <v>#NAME?</v>
      </c>
      <c r="M28" t="e">
        <f ca="1"/>
        <v>#NAME?</v>
      </c>
      <c r="N28" t="e">
        <f ca="1"/>
        <v>#NAME?</v>
      </c>
      <c r="O28" t="e">
        <f ca="1"/>
        <v>#NAME?</v>
      </c>
      <c r="P28" t="e">
        <f ca="1"/>
        <v>#NAME?</v>
      </c>
      <c r="Q28" t="e">
        <f ca="1"/>
        <v>#NAME?</v>
      </c>
    </row>
    <row r="29" spans="1:17">
      <c r="A29" t="e">
        <f ca="1"/>
        <v>#NAME?</v>
      </c>
      <c r="B29" t="e">
        <f ca="1"/>
        <v>#NAME?</v>
      </c>
      <c r="C29" t="e">
        <f ca="1"/>
        <v>#NAME?</v>
      </c>
      <c r="D29" t="e">
        <f ca="1"/>
        <v>#NAME?</v>
      </c>
      <c r="E29" t="e">
        <f ca="1"/>
        <v>#NAME?</v>
      </c>
      <c r="F29" t="e">
        <f ca="1"/>
        <v>#NAME?</v>
      </c>
      <c r="G29" t="e">
        <f ca="1"/>
        <v>#NAME?</v>
      </c>
      <c r="H29" t="e">
        <f ca="1"/>
        <v>#NAME?</v>
      </c>
      <c r="I29" t="e">
        <f ca="1"/>
        <v>#NAME?</v>
      </c>
      <c r="J29" t="e">
        <f ca="1"/>
        <v>#NAME?</v>
      </c>
      <c r="K29" t="e">
        <f ca="1"/>
        <v>#NAME?</v>
      </c>
      <c r="L29" t="e">
        <f ca="1"/>
        <v>#NAME?</v>
      </c>
      <c r="M29" t="e">
        <f ca="1"/>
        <v>#NAME?</v>
      </c>
      <c r="N29" t="e">
        <f ca="1"/>
        <v>#NAME?</v>
      </c>
      <c r="O29" t="e">
        <f ca="1"/>
        <v>#NAME?</v>
      </c>
      <c r="P29" t="e">
        <f ca="1"/>
        <v>#NAME?</v>
      </c>
      <c r="Q29" t="e">
        <f ca="1"/>
        <v>#NAME?</v>
      </c>
    </row>
    <row r="30" spans="1:17">
      <c r="A30" t="e">
        <f ca="1"/>
        <v>#NAME?</v>
      </c>
      <c r="B30" t="e">
        <f ca="1"/>
        <v>#NAME?</v>
      </c>
      <c r="C30" t="e">
        <f ca="1"/>
        <v>#NAME?</v>
      </c>
      <c r="D30" t="e">
        <f ca="1"/>
        <v>#NAME?</v>
      </c>
      <c r="E30" t="e">
        <f ca="1"/>
        <v>#NAME?</v>
      </c>
      <c r="F30" t="e">
        <f ca="1"/>
        <v>#NAME?</v>
      </c>
      <c r="G30" t="e">
        <f ca="1"/>
        <v>#NAME?</v>
      </c>
      <c r="H30" t="e">
        <f ca="1"/>
        <v>#NAME?</v>
      </c>
      <c r="I30" t="e">
        <f ca="1"/>
        <v>#NAME?</v>
      </c>
      <c r="J30" t="e">
        <f ca="1"/>
        <v>#NAME?</v>
      </c>
      <c r="K30" t="e">
        <f ca="1"/>
        <v>#NAME?</v>
      </c>
      <c r="L30" t="e">
        <f ca="1"/>
        <v>#NAME?</v>
      </c>
      <c r="M30" t="e">
        <f ca="1"/>
        <v>#NAME?</v>
      </c>
      <c r="N30" t="e">
        <f ca="1"/>
        <v>#NAME?</v>
      </c>
      <c r="O30" t="e">
        <f ca="1"/>
        <v>#NAME?</v>
      </c>
      <c r="P30" t="e">
        <f ca="1"/>
        <v>#NAME?</v>
      </c>
      <c r="Q30" t="e">
        <f ca="1"/>
        <v>#NAME?</v>
      </c>
    </row>
    <row r="31" spans="1:17">
      <c r="A31" t="e">
        <f ca="1"/>
        <v>#NAME?</v>
      </c>
      <c r="B31" t="e">
        <f ca="1"/>
        <v>#NAME?</v>
      </c>
      <c r="C31" t="e">
        <f ca="1"/>
        <v>#NAME?</v>
      </c>
      <c r="D31" t="e">
        <f ca="1"/>
        <v>#NAME?</v>
      </c>
      <c r="E31" t="e">
        <f ca="1"/>
        <v>#NAME?</v>
      </c>
      <c r="F31" t="e">
        <f ca="1"/>
        <v>#NAME?</v>
      </c>
      <c r="G31" t="e">
        <f ca="1"/>
        <v>#NAME?</v>
      </c>
      <c r="H31" t="e">
        <f ca="1"/>
        <v>#NAME?</v>
      </c>
      <c r="I31" t="e">
        <f ca="1"/>
        <v>#NAME?</v>
      </c>
      <c r="J31" t="e">
        <f ca="1"/>
        <v>#NAME?</v>
      </c>
      <c r="K31" t="e">
        <f ca="1"/>
        <v>#NAME?</v>
      </c>
      <c r="L31" t="e">
        <f ca="1"/>
        <v>#NAME?</v>
      </c>
      <c r="M31" t="e">
        <f ca="1"/>
        <v>#NAME?</v>
      </c>
      <c r="N31" t="e">
        <f ca="1"/>
        <v>#NAME?</v>
      </c>
      <c r="O31" t="e">
        <f ca="1"/>
        <v>#NAME?</v>
      </c>
      <c r="P31" t="e">
        <f ca="1"/>
        <v>#NAME?</v>
      </c>
      <c r="Q31" t="e">
        <f ca="1"/>
        <v>#NAME?</v>
      </c>
    </row>
    <row r="32" spans="1:17">
      <c r="A32" t="e">
        <f ca="1"/>
        <v>#NAME?</v>
      </c>
      <c r="B32" t="e">
        <f ca="1"/>
        <v>#NAME?</v>
      </c>
      <c r="C32" t="e">
        <f ca="1"/>
        <v>#NAME?</v>
      </c>
      <c r="D32" t="e">
        <f ca="1"/>
        <v>#NAME?</v>
      </c>
      <c r="E32" t="e">
        <f ca="1"/>
        <v>#NAME?</v>
      </c>
      <c r="F32" t="e">
        <f ca="1"/>
        <v>#NAME?</v>
      </c>
      <c r="G32" t="e">
        <f ca="1"/>
        <v>#NAME?</v>
      </c>
      <c r="H32" t="e">
        <f ca="1"/>
        <v>#NAME?</v>
      </c>
      <c r="I32" t="e">
        <f ca="1"/>
        <v>#NAME?</v>
      </c>
      <c r="J32" t="e">
        <f ca="1"/>
        <v>#NAME?</v>
      </c>
      <c r="K32" t="e">
        <f ca="1"/>
        <v>#NAME?</v>
      </c>
      <c r="L32" t="e">
        <f ca="1"/>
        <v>#NAME?</v>
      </c>
      <c r="M32" t="e">
        <f ca="1"/>
        <v>#NAME?</v>
      </c>
      <c r="N32" t="e">
        <f ca="1"/>
        <v>#NAME?</v>
      </c>
      <c r="O32" t="e">
        <f ca="1"/>
        <v>#NAME?</v>
      </c>
      <c r="P32" t="e">
        <f ca="1"/>
        <v>#NAME?</v>
      </c>
      <c r="Q32" t="e">
        <f ca="1"/>
        <v>#NAME?</v>
      </c>
    </row>
    <row r="33" spans="1:17">
      <c r="A33" t="e">
        <f ca="1"/>
        <v>#NAME?</v>
      </c>
      <c r="B33" t="e">
        <f ca="1"/>
        <v>#NAME?</v>
      </c>
      <c r="C33" t="e">
        <f ca="1"/>
        <v>#NAME?</v>
      </c>
      <c r="D33" t="e">
        <f ca="1"/>
        <v>#NAME?</v>
      </c>
      <c r="E33" t="e">
        <f ca="1"/>
        <v>#NAME?</v>
      </c>
      <c r="F33" t="e">
        <f ca="1"/>
        <v>#NAME?</v>
      </c>
      <c r="G33" t="e">
        <f ca="1"/>
        <v>#NAME?</v>
      </c>
      <c r="H33" t="e">
        <f ca="1"/>
        <v>#NAME?</v>
      </c>
      <c r="I33" t="e">
        <f ca="1"/>
        <v>#NAME?</v>
      </c>
      <c r="J33" t="e">
        <f ca="1"/>
        <v>#NAME?</v>
      </c>
      <c r="K33" t="e">
        <f ca="1"/>
        <v>#NAME?</v>
      </c>
      <c r="L33" t="e">
        <f ca="1"/>
        <v>#NAME?</v>
      </c>
      <c r="M33" t="e">
        <f ca="1"/>
        <v>#NAME?</v>
      </c>
      <c r="N33" t="e">
        <f ca="1"/>
        <v>#NAME?</v>
      </c>
      <c r="O33" t="e">
        <f ca="1"/>
        <v>#NAME?</v>
      </c>
      <c r="P33" t="e">
        <f ca="1"/>
        <v>#NAME?</v>
      </c>
      <c r="Q33" t="e">
        <f ca="1"/>
        <v>#NAME?</v>
      </c>
    </row>
    <row r="34" spans="1:17">
      <c r="A34" t="e">
        <f ca="1"/>
        <v>#NAME?</v>
      </c>
      <c r="B34" t="e">
        <f ca="1"/>
        <v>#NAME?</v>
      </c>
      <c r="C34" t="e">
        <f ca="1"/>
        <v>#NAME?</v>
      </c>
      <c r="D34" t="e">
        <f ca="1"/>
        <v>#NAME?</v>
      </c>
      <c r="E34" t="e">
        <f ca="1"/>
        <v>#NAME?</v>
      </c>
      <c r="F34" t="e">
        <f ca="1"/>
        <v>#NAME?</v>
      </c>
      <c r="G34" t="e">
        <f ca="1"/>
        <v>#NAME?</v>
      </c>
      <c r="H34" t="e">
        <f ca="1"/>
        <v>#NAME?</v>
      </c>
      <c r="I34" t="e">
        <f ca="1"/>
        <v>#NAME?</v>
      </c>
      <c r="J34" t="e">
        <f ca="1"/>
        <v>#NAME?</v>
      </c>
      <c r="K34" t="e">
        <f ca="1"/>
        <v>#NAME?</v>
      </c>
      <c r="L34" t="e">
        <f ca="1"/>
        <v>#NAME?</v>
      </c>
      <c r="M34" t="e">
        <f ca="1"/>
        <v>#NAME?</v>
      </c>
      <c r="N34" t="e">
        <f ca="1"/>
        <v>#NAME?</v>
      </c>
      <c r="O34" t="e">
        <f ca="1"/>
        <v>#NAME?</v>
      </c>
      <c r="P34" t="e">
        <f ca="1"/>
        <v>#NAME?</v>
      </c>
      <c r="Q34" t="e">
        <f ca="1"/>
        <v>#NAME?</v>
      </c>
    </row>
    <row r="35" spans="1:17">
      <c r="A35" t="e">
        <f ca="1"/>
        <v>#NAME?</v>
      </c>
      <c r="B35" t="e">
        <f ca="1"/>
        <v>#NAME?</v>
      </c>
      <c r="C35" t="e">
        <f ca="1"/>
        <v>#NAME?</v>
      </c>
      <c r="D35" t="e">
        <f ca="1"/>
        <v>#NAME?</v>
      </c>
      <c r="E35" t="e">
        <f ca="1"/>
        <v>#NAME?</v>
      </c>
      <c r="F35" t="e">
        <f ca="1"/>
        <v>#NAME?</v>
      </c>
      <c r="G35" t="e">
        <f ca="1"/>
        <v>#NAME?</v>
      </c>
      <c r="H35" t="e">
        <f ca="1"/>
        <v>#NAME?</v>
      </c>
      <c r="I35" t="e">
        <f ca="1"/>
        <v>#NAME?</v>
      </c>
      <c r="J35" t="e">
        <f ca="1"/>
        <v>#NAME?</v>
      </c>
      <c r="K35" t="e">
        <f ca="1"/>
        <v>#NAME?</v>
      </c>
      <c r="L35" t="e">
        <f ca="1"/>
        <v>#NAME?</v>
      </c>
      <c r="M35" t="e">
        <f ca="1"/>
        <v>#NAME?</v>
      </c>
      <c r="N35" t="e">
        <f ca="1"/>
        <v>#NAME?</v>
      </c>
      <c r="O35" t="e">
        <f ca="1"/>
        <v>#NAME?</v>
      </c>
      <c r="P35" t="e">
        <f ca="1"/>
        <v>#NAME?</v>
      </c>
      <c r="Q35" t="e">
        <f ca="1"/>
        <v>#NAME?</v>
      </c>
    </row>
    <row r="36" spans="1:17">
      <c r="A36" t="e">
        <f ca="1"/>
        <v>#NAME?</v>
      </c>
      <c r="B36" t="e">
        <f ca="1"/>
        <v>#NAME?</v>
      </c>
      <c r="C36" t="e">
        <f ca="1"/>
        <v>#NAME?</v>
      </c>
      <c r="D36" t="e">
        <f ca="1"/>
        <v>#NAME?</v>
      </c>
      <c r="E36" t="e">
        <f ca="1"/>
        <v>#NAME?</v>
      </c>
      <c r="F36" t="e">
        <f ca="1"/>
        <v>#NAME?</v>
      </c>
      <c r="G36" t="e">
        <f ca="1"/>
        <v>#NAME?</v>
      </c>
      <c r="H36" t="e">
        <f ca="1"/>
        <v>#NAME?</v>
      </c>
      <c r="I36" t="e">
        <f ca="1"/>
        <v>#NAME?</v>
      </c>
      <c r="J36" t="e">
        <f ca="1"/>
        <v>#NAME?</v>
      </c>
      <c r="K36" t="e">
        <f ca="1"/>
        <v>#NAME?</v>
      </c>
      <c r="L36" t="e">
        <f ca="1"/>
        <v>#NAME?</v>
      </c>
      <c r="M36" t="e">
        <f ca="1"/>
        <v>#NAME?</v>
      </c>
      <c r="N36" t="e">
        <f ca="1"/>
        <v>#NAME?</v>
      </c>
      <c r="O36" t="e">
        <f ca="1"/>
        <v>#NAME?</v>
      </c>
      <c r="P36" t="e">
        <f ca="1"/>
        <v>#NAME?</v>
      </c>
      <c r="Q36" t="e">
        <f ca="1"/>
        <v>#NAME?</v>
      </c>
    </row>
    <row r="37" spans="1:17">
      <c r="A37" t="e">
        <f ca="1"/>
        <v>#NAME?</v>
      </c>
      <c r="B37" t="e">
        <f ca="1"/>
        <v>#NAME?</v>
      </c>
      <c r="C37" t="e">
        <f ca="1"/>
        <v>#NAME?</v>
      </c>
      <c r="D37" t="e">
        <f ca="1"/>
        <v>#NAME?</v>
      </c>
      <c r="E37" t="e">
        <f ca="1"/>
        <v>#NAME?</v>
      </c>
      <c r="F37" t="e">
        <f ca="1"/>
        <v>#NAME?</v>
      </c>
      <c r="G37" t="e">
        <f ca="1"/>
        <v>#NAME?</v>
      </c>
      <c r="H37" t="e">
        <f ca="1"/>
        <v>#NAME?</v>
      </c>
      <c r="I37" t="e">
        <f ca="1"/>
        <v>#NAME?</v>
      </c>
      <c r="J37" t="e">
        <f ca="1"/>
        <v>#NAME?</v>
      </c>
      <c r="K37" t="e">
        <f ca="1"/>
        <v>#NAME?</v>
      </c>
      <c r="L37" t="e">
        <f ca="1"/>
        <v>#NAME?</v>
      </c>
      <c r="M37" t="e">
        <f ca="1"/>
        <v>#NAME?</v>
      </c>
      <c r="N37" t="e">
        <f ca="1"/>
        <v>#NAME?</v>
      </c>
      <c r="O37" t="e">
        <f ca="1"/>
        <v>#NAME?</v>
      </c>
      <c r="P37" t="e">
        <f ca="1"/>
        <v>#NAME?</v>
      </c>
      <c r="Q37" t="e">
        <f ca="1"/>
        <v>#NAME?</v>
      </c>
    </row>
    <row r="38" spans="1:17">
      <c r="A38" t="e">
        <f ca="1"/>
        <v>#NAME?</v>
      </c>
      <c r="B38" t="e">
        <f ca="1"/>
        <v>#NAME?</v>
      </c>
      <c r="C38" t="e">
        <f ca="1"/>
        <v>#NAME?</v>
      </c>
      <c r="D38" t="e">
        <f ca="1"/>
        <v>#NAME?</v>
      </c>
      <c r="E38" t="e">
        <f ca="1"/>
        <v>#NAME?</v>
      </c>
      <c r="F38" t="e">
        <f ca="1"/>
        <v>#NAME?</v>
      </c>
      <c r="G38" t="e">
        <f ca="1"/>
        <v>#NAME?</v>
      </c>
      <c r="H38" t="e">
        <f ca="1"/>
        <v>#NAME?</v>
      </c>
      <c r="I38" t="e">
        <f ca="1"/>
        <v>#NAME?</v>
      </c>
      <c r="J38" t="e">
        <f ca="1"/>
        <v>#NAME?</v>
      </c>
      <c r="K38" t="e">
        <f ca="1"/>
        <v>#NAME?</v>
      </c>
      <c r="L38" t="e">
        <f ca="1"/>
        <v>#NAME?</v>
      </c>
      <c r="M38" t="e">
        <f ca="1"/>
        <v>#NAME?</v>
      </c>
      <c r="N38" t="e">
        <f ca="1"/>
        <v>#NAME?</v>
      </c>
      <c r="O38" t="e">
        <f ca="1"/>
        <v>#NAME?</v>
      </c>
      <c r="P38" t="e">
        <f ca="1"/>
        <v>#NAME?</v>
      </c>
      <c r="Q38" t="e">
        <f ca="1"/>
        <v>#NAME?</v>
      </c>
    </row>
    <row r="39" spans="1:17">
      <c r="A39" t="e">
        <f ca="1"/>
        <v>#NAME?</v>
      </c>
      <c r="B39" t="e">
        <f ca="1"/>
        <v>#NAME?</v>
      </c>
      <c r="C39" t="e">
        <f ca="1"/>
        <v>#NAME?</v>
      </c>
      <c r="D39" t="e">
        <f ca="1"/>
        <v>#NAME?</v>
      </c>
      <c r="E39" t="e">
        <f ca="1"/>
        <v>#NAME?</v>
      </c>
      <c r="F39" t="e">
        <f ca="1"/>
        <v>#NAME?</v>
      </c>
      <c r="G39" t="e">
        <f ca="1"/>
        <v>#NAME?</v>
      </c>
      <c r="H39" t="e">
        <f ca="1"/>
        <v>#NAME?</v>
      </c>
      <c r="I39" t="e">
        <f ca="1"/>
        <v>#NAME?</v>
      </c>
      <c r="J39" t="e">
        <f ca="1"/>
        <v>#NAME?</v>
      </c>
      <c r="K39" t="e">
        <f ca="1"/>
        <v>#NAME?</v>
      </c>
      <c r="L39" t="e">
        <f ca="1"/>
        <v>#NAME?</v>
      </c>
      <c r="M39" t="e">
        <f ca="1"/>
        <v>#NAME?</v>
      </c>
      <c r="N39" t="e">
        <f ca="1"/>
        <v>#NAME?</v>
      </c>
      <c r="O39" t="e">
        <f ca="1"/>
        <v>#NAME?</v>
      </c>
      <c r="P39" t="e">
        <f ca="1"/>
        <v>#NAME?</v>
      </c>
      <c r="Q39" t="e">
        <f ca="1"/>
        <v>#NAME?</v>
      </c>
    </row>
    <row r="40" spans="1:17">
      <c r="A40" t="e">
        <f ca="1"/>
        <v>#NAME?</v>
      </c>
      <c r="B40" t="e">
        <f ca="1"/>
        <v>#NAME?</v>
      </c>
      <c r="C40" t="e">
        <f ca="1"/>
        <v>#NAME?</v>
      </c>
      <c r="D40" t="e">
        <f ca="1"/>
        <v>#NAME?</v>
      </c>
      <c r="E40" t="e">
        <f ca="1"/>
        <v>#NAME?</v>
      </c>
      <c r="F40" t="e">
        <f ca="1"/>
        <v>#NAME?</v>
      </c>
      <c r="G40" t="e">
        <f ca="1"/>
        <v>#NAME?</v>
      </c>
      <c r="H40" t="e">
        <f ca="1"/>
        <v>#NAME?</v>
      </c>
      <c r="I40" t="e">
        <f ca="1"/>
        <v>#NAME?</v>
      </c>
      <c r="J40" t="e">
        <f ca="1"/>
        <v>#NAME?</v>
      </c>
      <c r="K40" t="e">
        <f ca="1"/>
        <v>#NAME?</v>
      </c>
      <c r="L40" t="e">
        <f ca="1"/>
        <v>#NAME?</v>
      </c>
      <c r="M40" t="e">
        <f ca="1"/>
        <v>#NAME?</v>
      </c>
      <c r="N40" t="e">
        <f ca="1"/>
        <v>#NAME?</v>
      </c>
      <c r="O40" t="e">
        <f ca="1"/>
        <v>#NAME?</v>
      </c>
      <c r="P40" t="e">
        <f ca="1"/>
        <v>#NAME?</v>
      </c>
      <c r="Q40" t="e">
        <f ca="1"/>
        <v>#NAME?</v>
      </c>
    </row>
    <row r="41" spans="1:17">
      <c r="A41" t="e">
        <f ca="1"/>
        <v>#NAME?</v>
      </c>
      <c r="B41" t="e">
        <f ca="1"/>
        <v>#NAME?</v>
      </c>
      <c r="C41" t="e">
        <f ca="1"/>
        <v>#NAME?</v>
      </c>
      <c r="D41" t="e">
        <f ca="1"/>
        <v>#NAME?</v>
      </c>
      <c r="E41" t="e">
        <f ca="1"/>
        <v>#NAME?</v>
      </c>
      <c r="F41" t="e">
        <f ca="1"/>
        <v>#NAME?</v>
      </c>
      <c r="G41" t="e">
        <f ca="1"/>
        <v>#NAME?</v>
      </c>
      <c r="H41" t="e">
        <f ca="1"/>
        <v>#NAME?</v>
      </c>
      <c r="I41" t="e">
        <f ca="1"/>
        <v>#NAME?</v>
      </c>
      <c r="J41" t="e">
        <f ca="1"/>
        <v>#NAME?</v>
      </c>
      <c r="K41" t="e">
        <f ca="1"/>
        <v>#NAME?</v>
      </c>
      <c r="L41" t="e">
        <f ca="1"/>
        <v>#NAME?</v>
      </c>
      <c r="M41" t="e">
        <f ca="1"/>
        <v>#NAME?</v>
      </c>
      <c r="N41" t="e">
        <f ca="1"/>
        <v>#NAME?</v>
      </c>
      <c r="O41" t="e">
        <f ca="1"/>
        <v>#NAME?</v>
      </c>
      <c r="P41" t="e">
        <f ca="1"/>
        <v>#NAME?</v>
      </c>
      <c r="Q41" t="e">
        <f ca="1"/>
        <v>#NAME?</v>
      </c>
    </row>
    <row r="42" spans="1:17">
      <c r="A42" t="e">
        <f ca="1"/>
        <v>#NAME?</v>
      </c>
      <c r="B42" t="e">
        <f ca="1"/>
        <v>#NAME?</v>
      </c>
      <c r="C42" t="e">
        <f ca="1"/>
        <v>#NAME?</v>
      </c>
      <c r="D42" t="e">
        <f ca="1"/>
        <v>#NAME?</v>
      </c>
      <c r="E42" t="e">
        <f ca="1"/>
        <v>#NAME?</v>
      </c>
      <c r="F42" t="e">
        <f ca="1"/>
        <v>#NAME?</v>
      </c>
      <c r="G42" t="e">
        <f ca="1"/>
        <v>#NAME?</v>
      </c>
      <c r="H42" t="e">
        <f ca="1"/>
        <v>#NAME?</v>
      </c>
      <c r="I42" t="e">
        <f ca="1"/>
        <v>#NAME?</v>
      </c>
      <c r="J42" t="e">
        <f ca="1"/>
        <v>#NAME?</v>
      </c>
      <c r="K42" t="e">
        <f ca="1"/>
        <v>#NAME?</v>
      </c>
      <c r="L42" t="e">
        <f ca="1"/>
        <v>#NAME?</v>
      </c>
      <c r="M42" t="e">
        <f ca="1"/>
        <v>#NAME?</v>
      </c>
      <c r="N42" t="e">
        <f ca="1"/>
        <v>#NAME?</v>
      </c>
      <c r="O42" t="e">
        <f ca="1"/>
        <v>#NAME?</v>
      </c>
      <c r="P42" t="e">
        <f ca="1"/>
        <v>#NAME?</v>
      </c>
      <c r="Q42" t="e">
        <f ca="1"/>
        <v>#NAME?</v>
      </c>
    </row>
    <row r="43" spans="1:17">
      <c r="A43" t="e">
        <f ca="1"/>
        <v>#NAME?</v>
      </c>
      <c r="B43" t="e">
        <f ca="1"/>
        <v>#NAME?</v>
      </c>
      <c r="C43" t="e">
        <f ca="1"/>
        <v>#NAME?</v>
      </c>
      <c r="D43" t="e">
        <f ca="1"/>
        <v>#NAME?</v>
      </c>
      <c r="E43" t="e">
        <f ca="1"/>
        <v>#NAME?</v>
      </c>
      <c r="F43" t="e">
        <f ca="1"/>
        <v>#NAME?</v>
      </c>
      <c r="G43" t="e">
        <f ca="1"/>
        <v>#NAME?</v>
      </c>
      <c r="H43" t="e">
        <f ca="1"/>
        <v>#NAME?</v>
      </c>
      <c r="I43" t="e">
        <f ca="1"/>
        <v>#NAME?</v>
      </c>
      <c r="J43" t="e">
        <f ca="1"/>
        <v>#NAME?</v>
      </c>
      <c r="K43" t="e">
        <f ca="1"/>
        <v>#NAME?</v>
      </c>
      <c r="L43" t="e">
        <f ca="1"/>
        <v>#NAME?</v>
      </c>
      <c r="M43" t="e">
        <f ca="1"/>
        <v>#NAME?</v>
      </c>
      <c r="N43" t="e">
        <f ca="1"/>
        <v>#NAME?</v>
      </c>
      <c r="O43" t="e">
        <f ca="1"/>
        <v>#NAME?</v>
      </c>
      <c r="P43" t="e">
        <f ca="1"/>
        <v>#NAME?</v>
      </c>
      <c r="Q43" t="e">
        <f ca="1"/>
        <v>#NAME?</v>
      </c>
    </row>
    <row r="44" spans="1:17">
      <c r="A44" t="e">
        <f ca="1"/>
        <v>#NAME?</v>
      </c>
      <c r="B44" t="e">
        <f ca="1"/>
        <v>#NAME?</v>
      </c>
      <c r="C44" t="e">
        <f ca="1"/>
        <v>#NAME?</v>
      </c>
      <c r="D44" t="e">
        <f ca="1"/>
        <v>#NAME?</v>
      </c>
      <c r="E44" t="e">
        <f ca="1"/>
        <v>#NAME?</v>
      </c>
      <c r="F44" t="e">
        <f ca="1"/>
        <v>#NAME?</v>
      </c>
      <c r="G44" t="e">
        <f ca="1"/>
        <v>#NAME?</v>
      </c>
      <c r="H44" t="e">
        <f ca="1"/>
        <v>#NAME?</v>
      </c>
      <c r="I44" t="e">
        <f ca="1"/>
        <v>#NAME?</v>
      </c>
      <c r="J44" t="e">
        <f ca="1"/>
        <v>#NAME?</v>
      </c>
      <c r="K44" t="e">
        <f ca="1"/>
        <v>#NAME?</v>
      </c>
      <c r="L44" t="e">
        <f ca="1"/>
        <v>#NAME?</v>
      </c>
      <c r="M44" t="e">
        <f ca="1"/>
        <v>#NAME?</v>
      </c>
      <c r="N44" t="e">
        <f ca="1"/>
        <v>#NAME?</v>
      </c>
      <c r="O44" t="e">
        <f ca="1"/>
        <v>#NAME?</v>
      </c>
      <c r="P44" t="e">
        <f ca="1"/>
        <v>#NAME?</v>
      </c>
      <c r="Q44" t="e">
        <f ca="1"/>
        <v>#NAME?</v>
      </c>
    </row>
    <row r="45" spans="1:17">
      <c r="A45" t="e">
        <f ca="1"/>
        <v>#NAME?</v>
      </c>
      <c r="B45" t="e">
        <f ca="1"/>
        <v>#NAME?</v>
      </c>
      <c r="C45" t="e">
        <f ca="1"/>
        <v>#NAME?</v>
      </c>
      <c r="D45" t="e">
        <f ca="1"/>
        <v>#NAME?</v>
      </c>
      <c r="E45" t="e">
        <f ca="1"/>
        <v>#NAME?</v>
      </c>
      <c r="F45" t="e">
        <f ca="1"/>
        <v>#NAME?</v>
      </c>
      <c r="G45" t="e">
        <f ca="1"/>
        <v>#NAME?</v>
      </c>
      <c r="H45" t="e">
        <f ca="1"/>
        <v>#NAME?</v>
      </c>
      <c r="I45" t="e">
        <f ca="1"/>
        <v>#NAME?</v>
      </c>
      <c r="J45" t="e">
        <f ca="1"/>
        <v>#NAME?</v>
      </c>
      <c r="K45" t="e">
        <f ca="1"/>
        <v>#NAME?</v>
      </c>
      <c r="L45" t="e">
        <f ca="1"/>
        <v>#NAME?</v>
      </c>
      <c r="M45" t="e">
        <f ca="1"/>
        <v>#NAME?</v>
      </c>
      <c r="N45" t="e">
        <f ca="1"/>
        <v>#NAME?</v>
      </c>
      <c r="O45" t="e">
        <f ca="1"/>
        <v>#NAME?</v>
      </c>
      <c r="P45" t="e">
        <f ca="1"/>
        <v>#NAME?</v>
      </c>
      <c r="Q45" t="e">
        <f ca="1"/>
        <v>#NAME?</v>
      </c>
    </row>
    <row r="46" spans="1:17">
      <c r="A46" t="e">
        <f ca="1"/>
        <v>#NAME?</v>
      </c>
      <c r="B46" t="e">
        <f ca="1"/>
        <v>#NAME?</v>
      </c>
      <c r="C46" t="e">
        <f ca="1"/>
        <v>#NAME?</v>
      </c>
      <c r="D46" t="e">
        <f ca="1"/>
        <v>#NAME?</v>
      </c>
      <c r="E46" t="e">
        <f ca="1"/>
        <v>#NAME?</v>
      </c>
      <c r="F46" t="e">
        <f ca="1"/>
        <v>#NAME?</v>
      </c>
      <c r="G46" t="e">
        <f ca="1"/>
        <v>#NAME?</v>
      </c>
      <c r="H46" t="e">
        <f ca="1"/>
        <v>#NAME?</v>
      </c>
      <c r="I46" t="e">
        <f ca="1"/>
        <v>#NAME?</v>
      </c>
      <c r="J46" t="e">
        <f ca="1"/>
        <v>#NAME?</v>
      </c>
      <c r="K46" t="e">
        <f ca="1"/>
        <v>#NAME?</v>
      </c>
      <c r="L46" t="e">
        <f ca="1"/>
        <v>#NAME?</v>
      </c>
      <c r="M46" t="e">
        <f ca="1"/>
        <v>#NAME?</v>
      </c>
      <c r="N46" t="e">
        <f ca="1"/>
        <v>#NAME?</v>
      </c>
      <c r="O46" t="e">
        <f ca="1"/>
        <v>#NAME?</v>
      </c>
      <c r="P46" t="e">
        <f ca="1"/>
        <v>#NAME?</v>
      </c>
      <c r="Q46" t="e">
        <f ca="1"/>
        <v>#NAME?</v>
      </c>
    </row>
    <row r="47" spans="1:17">
      <c r="A47" t="e">
        <f ca="1"/>
        <v>#NAME?</v>
      </c>
      <c r="B47" t="e">
        <f ca="1"/>
        <v>#NAME?</v>
      </c>
      <c r="C47" t="e">
        <f ca="1"/>
        <v>#NAME?</v>
      </c>
      <c r="D47" t="e">
        <f ca="1"/>
        <v>#NAME?</v>
      </c>
      <c r="E47" t="e">
        <f ca="1"/>
        <v>#NAME?</v>
      </c>
      <c r="F47" t="e">
        <f ca="1"/>
        <v>#NAME?</v>
      </c>
      <c r="G47" t="e">
        <f ca="1"/>
        <v>#NAME?</v>
      </c>
      <c r="H47" t="e">
        <f ca="1"/>
        <v>#NAME?</v>
      </c>
      <c r="I47" t="e">
        <f ca="1"/>
        <v>#NAME?</v>
      </c>
      <c r="J47" t="e">
        <f ca="1"/>
        <v>#NAME?</v>
      </c>
      <c r="K47" t="e">
        <f ca="1"/>
        <v>#NAME?</v>
      </c>
      <c r="L47" t="e">
        <f ca="1"/>
        <v>#NAME?</v>
      </c>
      <c r="M47" t="e">
        <f ca="1"/>
        <v>#NAME?</v>
      </c>
      <c r="N47" t="e">
        <f ca="1"/>
        <v>#NAME?</v>
      </c>
      <c r="O47" t="e">
        <f ca="1"/>
        <v>#NAME?</v>
      </c>
      <c r="P47" t="e">
        <f ca="1"/>
        <v>#NAME?</v>
      </c>
      <c r="Q47" t="e">
        <f ca="1"/>
        <v>#NAME?</v>
      </c>
    </row>
    <row r="48" spans="1:17">
      <c r="A48" t="e">
        <f ca="1"/>
        <v>#NAME?</v>
      </c>
      <c r="B48" t="e">
        <f ca="1"/>
        <v>#NAME?</v>
      </c>
      <c r="C48" t="e">
        <f ca="1"/>
        <v>#NAME?</v>
      </c>
      <c r="D48" t="e">
        <f ca="1"/>
        <v>#NAME?</v>
      </c>
      <c r="E48" t="e">
        <f ca="1"/>
        <v>#NAME?</v>
      </c>
      <c r="F48" t="e">
        <f ca="1"/>
        <v>#NAME?</v>
      </c>
      <c r="G48" t="e">
        <f ca="1"/>
        <v>#NAME?</v>
      </c>
      <c r="H48" t="e">
        <f ca="1"/>
        <v>#NAME?</v>
      </c>
      <c r="I48" t="e">
        <f ca="1"/>
        <v>#NAME?</v>
      </c>
      <c r="J48" t="e">
        <f ca="1"/>
        <v>#NAME?</v>
      </c>
      <c r="K48" t="e">
        <f ca="1"/>
        <v>#NAME?</v>
      </c>
      <c r="L48" t="e">
        <f ca="1"/>
        <v>#NAME?</v>
      </c>
      <c r="M48" t="e">
        <f ca="1"/>
        <v>#NAME?</v>
      </c>
      <c r="N48" t="e">
        <f ca="1"/>
        <v>#NAME?</v>
      </c>
      <c r="O48" t="e">
        <f ca="1"/>
        <v>#NAME?</v>
      </c>
      <c r="P48" t="e">
        <f ca="1"/>
        <v>#NAME?</v>
      </c>
      <c r="Q48" t="e">
        <f ca="1"/>
        <v>#NAME?</v>
      </c>
    </row>
    <row r="49" spans="1:17">
      <c r="A49" t="e">
        <f ca="1"/>
        <v>#NAME?</v>
      </c>
      <c r="B49" t="e">
        <f ca="1"/>
        <v>#NAME?</v>
      </c>
      <c r="C49" t="e">
        <f ca="1"/>
        <v>#NAME?</v>
      </c>
      <c r="D49" t="e">
        <f ca="1"/>
        <v>#NAME?</v>
      </c>
      <c r="E49" t="e">
        <f ca="1"/>
        <v>#NAME?</v>
      </c>
      <c r="F49" t="e">
        <f ca="1"/>
        <v>#NAME?</v>
      </c>
      <c r="G49" t="e">
        <f ca="1"/>
        <v>#NAME?</v>
      </c>
      <c r="H49" t="e">
        <f ca="1"/>
        <v>#NAME?</v>
      </c>
      <c r="I49" t="e">
        <f ca="1"/>
        <v>#NAME?</v>
      </c>
      <c r="J49" t="e">
        <f ca="1"/>
        <v>#NAME?</v>
      </c>
      <c r="K49" t="e">
        <f ca="1"/>
        <v>#NAME?</v>
      </c>
      <c r="L49" t="e">
        <f ca="1"/>
        <v>#NAME?</v>
      </c>
      <c r="M49" t="e">
        <f ca="1"/>
        <v>#NAME?</v>
      </c>
      <c r="N49" t="e">
        <f ca="1"/>
        <v>#NAME?</v>
      </c>
      <c r="O49" t="e">
        <f ca="1"/>
        <v>#NAME?</v>
      </c>
      <c r="P49" t="e">
        <f ca="1"/>
        <v>#NAME?</v>
      </c>
      <c r="Q49" t="e">
        <f ca="1"/>
        <v>#NAME?</v>
      </c>
    </row>
    <row r="50" spans="1:17">
      <c r="A50" t="e">
        <f ca="1"/>
        <v>#NAME?</v>
      </c>
      <c r="B50" t="e">
        <f ca="1"/>
        <v>#NAME?</v>
      </c>
      <c r="C50" t="e">
        <f ca="1"/>
        <v>#NAME?</v>
      </c>
      <c r="D50" t="e">
        <f ca="1"/>
        <v>#NAME?</v>
      </c>
      <c r="E50" t="e">
        <f ca="1"/>
        <v>#NAME?</v>
      </c>
      <c r="F50" t="e">
        <f ca="1"/>
        <v>#NAME?</v>
      </c>
      <c r="G50" t="e">
        <f ca="1"/>
        <v>#NAME?</v>
      </c>
      <c r="H50" t="e">
        <f ca="1"/>
        <v>#NAME?</v>
      </c>
      <c r="I50" t="e">
        <f ca="1"/>
        <v>#NAME?</v>
      </c>
      <c r="J50" t="e">
        <f ca="1"/>
        <v>#NAME?</v>
      </c>
      <c r="K50" t="e">
        <f ca="1"/>
        <v>#NAME?</v>
      </c>
      <c r="L50" t="e">
        <f ca="1"/>
        <v>#NAME?</v>
      </c>
      <c r="M50" t="e">
        <f ca="1"/>
        <v>#NAME?</v>
      </c>
      <c r="N50" t="e">
        <f ca="1"/>
        <v>#NAME?</v>
      </c>
      <c r="O50" t="e">
        <f ca="1"/>
        <v>#NAME?</v>
      </c>
      <c r="P50" t="e">
        <f ca="1"/>
        <v>#NAME?</v>
      </c>
      <c r="Q50" t="e">
        <f ca="1"/>
        <v>#NAME?</v>
      </c>
    </row>
    <row r="51" spans="1:17">
      <c r="A51" t="e">
        <f ca="1"/>
        <v>#NAME?</v>
      </c>
      <c r="B51" t="e">
        <f ca="1"/>
        <v>#NAME?</v>
      </c>
      <c r="C51" t="e">
        <f ca="1"/>
        <v>#NAME?</v>
      </c>
      <c r="D51" t="e">
        <f ca="1"/>
        <v>#NAME?</v>
      </c>
      <c r="E51" t="e">
        <f ca="1"/>
        <v>#NAME?</v>
      </c>
      <c r="F51" t="e">
        <f ca="1"/>
        <v>#NAME?</v>
      </c>
      <c r="G51" t="e">
        <f ca="1"/>
        <v>#NAME?</v>
      </c>
      <c r="H51" t="e">
        <f ca="1"/>
        <v>#NAME?</v>
      </c>
      <c r="I51" t="e">
        <f ca="1"/>
        <v>#NAME?</v>
      </c>
      <c r="J51" t="e">
        <f ca="1"/>
        <v>#NAME?</v>
      </c>
      <c r="K51" t="e">
        <f ca="1"/>
        <v>#NAME?</v>
      </c>
      <c r="L51" t="e">
        <f ca="1"/>
        <v>#NAME?</v>
      </c>
      <c r="M51" t="e">
        <f ca="1"/>
        <v>#NAME?</v>
      </c>
      <c r="N51" t="e">
        <f ca="1"/>
        <v>#NAME?</v>
      </c>
      <c r="O51" t="e">
        <f ca="1"/>
        <v>#NAME?</v>
      </c>
      <c r="P51" t="e">
        <f ca="1"/>
        <v>#NAME?</v>
      </c>
      <c r="Q51" t="e">
        <f ca="1"/>
        <v>#NAME?</v>
      </c>
    </row>
    <row r="52" spans="1:17">
      <c r="A52" t="e">
        <f ca="1"/>
        <v>#NAME?</v>
      </c>
      <c r="B52" t="e">
        <f ca="1"/>
        <v>#NAME?</v>
      </c>
      <c r="C52" t="e">
        <f ca="1"/>
        <v>#NAME?</v>
      </c>
      <c r="D52" t="e">
        <f ca="1"/>
        <v>#NAME?</v>
      </c>
      <c r="E52" t="e">
        <f ca="1"/>
        <v>#NAME?</v>
      </c>
      <c r="F52" t="e">
        <f ca="1"/>
        <v>#NAME?</v>
      </c>
      <c r="G52" t="e">
        <f ca="1"/>
        <v>#NAME?</v>
      </c>
      <c r="H52" t="e">
        <f ca="1"/>
        <v>#NAME?</v>
      </c>
      <c r="I52" t="e">
        <f ca="1"/>
        <v>#NAME?</v>
      </c>
      <c r="J52" t="e">
        <f ca="1"/>
        <v>#NAME?</v>
      </c>
      <c r="K52" t="e">
        <f ca="1"/>
        <v>#NAME?</v>
      </c>
      <c r="L52" t="e">
        <f ca="1"/>
        <v>#NAME?</v>
      </c>
      <c r="M52" t="e">
        <f ca="1"/>
        <v>#NAME?</v>
      </c>
      <c r="N52" t="e">
        <f ca="1"/>
        <v>#NAME?</v>
      </c>
      <c r="O52" t="e">
        <f ca="1"/>
        <v>#NAME?</v>
      </c>
      <c r="P52" t="e">
        <f ca="1"/>
        <v>#NAME?</v>
      </c>
      <c r="Q52" t="e">
        <f ca="1"/>
        <v>#NAME?</v>
      </c>
    </row>
    <row r="53" spans="1:17">
      <c r="A53" t="e">
        <f ca="1"/>
        <v>#NAME?</v>
      </c>
      <c r="B53" t="e">
        <f ca="1"/>
        <v>#NAME?</v>
      </c>
      <c r="C53" t="e">
        <f ca="1"/>
        <v>#NAME?</v>
      </c>
      <c r="D53" t="e">
        <f ca="1"/>
        <v>#NAME?</v>
      </c>
      <c r="E53" t="e">
        <f ca="1"/>
        <v>#NAME?</v>
      </c>
      <c r="F53" t="e">
        <f ca="1"/>
        <v>#NAME?</v>
      </c>
      <c r="G53" t="e">
        <f ca="1"/>
        <v>#NAME?</v>
      </c>
      <c r="H53" t="e">
        <f ca="1"/>
        <v>#NAME?</v>
      </c>
      <c r="I53" t="e">
        <f ca="1"/>
        <v>#NAME?</v>
      </c>
      <c r="J53" t="e">
        <f ca="1"/>
        <v>#NAME?</v>
      </c>
      <c r="K53" t="e">
        <f ca="1"/>
        <v>#NAME?</v>
      </c>
      <c r="L53" t="e">
        <f ca="1"/>
        <v>#NAME?</v>
      </c>
      <c r="M53" t="e">
        <f ca="1"/>
        <v>#NAME?</v>
      </c>
      <c r="N53" t="e">
        <f ca="1"/>
        <v>#NAME?</v>
      </c>
      <c r="O53" t="e">
        <f ca="1"/>
        <v>#NAME?</v>
      </c>
      <c r="P53" t="e">
        <f ca="1"/>
        <v>#NAME?</v>
      </c>
      <c r="Q53" t="e">
        <f ca="1"/>
        <v>#NAME?</v>
      </c>
    </row>
    <row r="54" spans="1:17">
      <c r="A54" t="e">
        <f ca="1"/>
        <v>#NAME?</v>
      </c>
      <c r="B54" t="e">
        <f ca="1"/>
        <v>#NAME?</v>
      </c>
      <c r="C54" t="e">
        <f ca="1"/>
        <v>#NAME?</v>
      </c>
      <c r="D54" t="e">
        <f ca="1"/>
        <v>#NAME?</v>
      </c>
      <c r="E54" t="e">
        <f ca="1"/>
        <v>#NAME?</v>
      </c>
      <c r="F54" t="e">
        <f ca="1"/>
        <v>#NAME?</v>
      </c>
      <c r="G54" t="e">
        <f ca="1"/>
        <v>#NAME?</v>
      </c>
      <c r="H54" t="e">
        <f ca="1"/>
        <v>#NAME?</v>
      </c>
      <c r="I54" t="e">
        <f ca="1"/>
        <v>#NAME?</v>
      </c>
      <c r="J54" t="e">
        <f ca="1"/>
        <v>#NAME?</v>
      </c>
      <c r="K54" t="e">
        <f ca="1"/>
        <v>#NAME?</v>
      </c>
      <c r="L54" t="e">
        <f ca="1"/>
        <v>#NAME?</v>
      </c>
      <c r="M54" t="e">
        <f ca="1"/>
        <v>#NAME?</v>
      </c>
      <c r="N54" t="e">
        <f ca="1"/>
        <v>#NAME?</v>
      </c>
      <c r="O54" t="e">
        <f ca="1"/>
        <v>#NAME?</v>
      </c>
      <c r="P54" t="e">
        <f ca="1"/>
        <v>#NAME?</v>
      </c>
      <c r="Q54" t="e">
        <f ca="1"/>
        <v>#NAME?</v>
      </c>
    </row>
    <row r="55" spans="1:17">
      <c r="A55" t="e">
        <f ca="1"/>
        <v>#NAME?</v>
      </c>
      <c r="B55" t="e">
        <f ca="1"/>
        <v>#NAME?</v>
      </c>
      <c r="C55" t="e">
        <f ca="1"/>
        <v>#NAME?</v>
      </c>
      <c r="D55" t="e">
        <f ca="1"/>
        <v>#NAME?</v>
      </c>
      <c r="E55" t="e">
        <f ca="1"/>
        <v>#NAME?</v>
      </c>
      <c r="F55" t="e">
        <f ca="1"/>
        <v>#NAME?</v>
      </c>
      <c r="G55" t="e">
        <f ca="1"/>
        <v>#NAME?</v>
      </c>
      <c r="H55" t="e">
        <f ca="1"/>
        <v>#NAME?</v>
      </c>
      <c r="I55" t="e">
        <f ca="1"/>
        <v>#NAME?</v>
      </c>
      <c r="J55" t="e">
        <f ca="1"/>
        <v>#NAME?</v>
      </c>
      <c r="K55" t="e">
        <f ca="1"/>
        <v>#NAME?</v>
      </c>
      <c r="L55" t="e">
        <f ca="1"/>
        <v>#NAME?</v>
      </c>
      <c r="M55" t="e">
        <f ca="1"/>
        <v>#NAME?</v>
      </c>
      <c r="N55" t="e">
        <f ca="1"/>
        <v>#NAME?</v>
      </c>
      <c r="O55" t="e">
        <f ca="1"/>
        <v>#NAME?</v>
      </c>
      <c r="P55" t="e">
        <f ca="1"/>
        <v>#NAME?</v>
      </c>
      <c r="Q55" t="e">
        <f ca="1"/>
        <v>#NAME?</v>
      </c>
    </row>
    <row r="56" spans="1:17">
      <c r="A56" t="e">
        <f ca="1"/>
        <v>#NAME?</v>
      </c>
      <c r="B56" t="e">
        <f ca="1"/>
        <v>#NAME?</v>
      </c>
      <c r="C56" t="e">
        <f ca="1"/>
        <v>#NAME?</v>
      </c>
      <c r="D56" t="e">
        <f ca="1"/>
        <v>#NAME?</v>
      </c>
      <c r="E56" t="e">
        <f ca="1"/>
        <v>#NAME?</v>
      </c>
      <c r="F56" t="e">
        <f ca="1"/>
        <v>#NAME?</v>
      </c>
      <c r="G56" t="e">
        <f ca="1"/>
        <v>#NAME?</v>
      </c>
      <c r="H56" t="e">
        <f ca="1"/>
        <v>#NAME?</v>
      </c>
      <c r="I56" t="e">
        <f ca="1"/>
        <v>#NAME?</v>
      </c>
      <c r="J56" t="e">
        <f ca="1"/>
        <v>#NAME?</v>
      </c>
      <c r="K56" t="e">
        <f ca="1"/>
        <v>#NAME?</v>
      </c>
      <c r="L56" t="e">
        <f ca="1"/>
        <v>#NAME?</v>
      </c>
      <c r="M56" t="e">
        <f ca="1"/>
        <v>#NAME?</v>
      </c>
      <c r="N56" t="e">
        <f ca="1"/>
        <v>#NAME?</v>
      </c>
      <c r="O56" t="e">
        <f ca="1"/>
        <v>#NAME?</v>
      </c>
      <c r="P56" t="e">
        <f ca="1"/>
        <v>#NAME?</v>
      </c>
      <c r="Q56" t="e">
        <f ca="1"/>
        <v>#NAME?</v>
      </c>
    </row>
    <row r="57" spans="1:17">
      <c r="A57" t="e">
        <f ca="1"/>
        <v>#NAME?</v>
      </c>
      <c r="B57" t="e">
        <f ca="1"/>
        <v>#NAME?</v>
      </c>
      <c r="C57" t="e">
        <f ca="1"/>
        <v>#NAME?</v>
      </c>
      <c r="D57" t="e">
        <f ca="1"/>
        <v>#NAME?</v>
      </c>
      <c r="E57" t="e">
        <f ca="1"/>
        <v>#NAME?</v>
      </c>
      <c r="F57" t="e">
        <f ca="1"/>
        <v>#NAME?</v>
      </c>
      <c r="G57" t="e">
        <f ca="1"/>
        <v>#NAME?</v>
      </c>
      <c r="H57" t="e">
        <f ca="1"/>
        <v>#NAME?</v>
      </c>
      <c r="I57" t="e">
        <f ca="1"/>
        <v>#NAME?</v>
      </c>
      <c r="J57" t="e">
        <f ca="1"/>
        <v>#NAME?</v>
      </c>
      <c r="K57" t="e">
        <f ca="1"/>
        <v>#NAME?</v>
      </c>
      <c r="L57" t="e">
        <f ca="1"/>
        <v>#NAME?</v>
      </c>
      <c r="M57" t="e">
        <f ca="1"/>
        <v>#NAME?</v>
      </c>
      <c r="N57" t="e">
        <f ca="1"/>
        <v>#NAME?</v>
      </c>
      <c r="O57" t="e">
        <f ca="1"/>
        <v>#NAME?</v>
      </c>
      <c r="P57" t="e">
        <f ca="1"/>
        <v>#NAME?</v>
      </c>
      <c r="Q57" t="e">
        <f ca="1"/>
        <v>#NAME?</v>
      </c>
    </row>
    <row r="58" spans="1:17">
      <c r="A58" t="e">
        <f ca="1"/>
        <v>#NAME?</v>
      </c>
      <c r="B58" t="e">
        <f ca="1"/>
        <v>#NAME?</v>
      </c>
      <c r="C58" t="e">
        <f ca="1"/>
        <v>#NAME?</v>
      </c>
      <c r="D58" t="e">
        <f ca="1"/>
        <v>#NAME?</v>
      </c>
      <c r="E58" t="e">
        <f ca="1"/>
        <v>#NAME?</v>
      </c>
      <c r="F58" t="e">
        <f ca="1"/>
        <v>#NAME?</v>
      </c>
      <c r="G58" t="e">
        <f ca="1"/>
        <v>#NAME?</v>
      </c>
      <c r="H58" t="e">
        <f ca="1"/>
        <v>#NAME?</v>
      </c>
      <c r="I58" t="e">
        <f ca="1"/>
        <v>#NAME?</v>
      </c>
      <c r="J58" t="e">
        <f ca="1"/>
        <v>#NAME?</v>
      </c>
      <c r="K58" t="e">
        <f ca="1"/>
        <v>#NAME?</v>
      </c>
      <c r="L58" t="e">
        <f ca="1"/>
        <v>#NAME?</v>
      </c>
      <c r="M58" t="e">
        <f ca="1"/>
        <v>#NAME?</v>
      </c>
      <c r="N58" t="e">
        <f ca="1"/>
        <v>#NAME?</v>
      </c>
      <c r="O58" t="e">
        <f ca="1"/>
        <v>#NAME?</v>
      </c>
      <c r="P58" t="e">
        <f ca="1"/>
        <v>#NAME?</v>
      </c>
      <c r="Q58" t="e">
        <f ca="1"/>
        <v>#NAME?</v>
      </c>
    </row>
    <row r="59" spans="1:17">
      <c r="A59" t="e">
        <f ca="1"/>
        <v>#NAME?</v>
      </c>
      <c r="B59" t="e">
        <f ca="1"/>
        <v>#NAME?</v>
      </c>
      <c r="C59" t="e">
        <f ca="1"/>
        <v>#NAME?</v>
      </c>
      <c r="D59" t="e">
        <f ca="1"/>
        <v>#NAME?</v>
      </c>
      <c r="E59" t="e">
        <f ca="1"/>
        <v>#NAME?</v>
      </c>
      <c r="F59" t="e">
        <f ca="1"/>
        <v>#NAME?</v>
      </c>
      <c r="G59" t="e">
        <f ca="1"/>
        <v>#NAME?</v>
      </c>
      <c r="H59" t="e">
        <f ca="1"/>
        <v>#NAME?</v>
      </c>
      <c r="I59" t="e">
        <f ca="1"/>
        <v>#NAME?</v>
      </c>
      <c r="J59" t="e">
        <f ca="1"/>
        <v>#NAME?</v>
      </c>
      <c r="K59" t="e">
        <f ca="1"/>
        <v>#NAME?</v>
      </c>
      <c r="L59" t="e">
        <f ca="1"/>
        <v>#NAME?</v>
      </c>
      <c r="M59" t="e">
        <f ca="1"/>
        <v>#NAME?</v>
      </c>
      <c r="N59" t="e">
        <f ca="1"/>
        <v>#NAME?</v>
      </c>
      <c r="O59" t="e">
        <f ca="1"/>
        <v>#NAME?</v>
      </c>
      <c r="P59" t="e">
        <f ca="1"/>
        <v>#NAME?</v>
      </c>
      <c r="Q59" t="e">
        <f ca="1"/>
        <v>#NAME?</v>
      </c>
    </row>
    <row r="60" spans="1:17">
      <c r="A60" t="e">
        <f ca="1"/>
        <v>#NAME?</v>
      </c>
      <c r="B60" t="e">
        <f ca="1"/>
        <v>#NAME?</v>
      </c>
      <c r="C60" t="e">
        <f ca="1"/>
        <v>#NAME?</v>
      </c>
      <c r="D60" t="e">
        <f ca="1"/>
        <v>#NAME?</v>
      </c>
      <c r="E60" t="e">
        <f ca="1"/>
        <v>#NAME?</v>
      </c>
      <c r="F60" t="e">
        <f ca="1"/>
        <v>#NAME?</v>
      </c>
      <c r="G60" t="e">
        <f ca="1"/>
        <v>#NAME?</v>
      </c>
      <c r="H60" t="e">
        <f ca="1"/>
        <v>#NAME?</v>
      </c>
      <c r="I60" t="e">
        <f ca="1"/>
        <v>#NAME?</v>
      </c>
      <c r="J60" t="e">
        <f ca="1"/>
        <v>#NAME?</v>
      </c>
      <c r="K60" t="e">
        <f ca="1"/>
        <v>#NAME?</v>
      </c>
      <c r="L60" t="e">
        <f ca="1"/>
        <v>#NAME?</v>
      </c>
      <c r="M60" t="e">
        <f ca="1"/>
        <v>#NAME?</v>
      </c>
      <c r="N60" t="e">
        <f ca="1"/>
        <v>#NAME?</v>
      </c>
      <c r="O60" t="e">
        <f ca="1"/>
        <v>#NAME?</v>
      </c>
      <c r="P60" t="e">
        <f ca="1"/>
        <v>#NAME?</v>
      </c>
      <c r="Q60" t="e">
        <f ca="1"/>
        <v>#NAME?</v>
      </c>
    </row>
    <row r="61" spans="1:17">
      <c r="A61" t="e">
        <f ca="1"/>
        <v>#NAME?</v>
      </c>
      <c r="B61" t="e">
        <f ca="1"/>
        <v>#NAME?</v>
      </c>
      <c r="C61" t="e">
        <f ca="1"/>
        <v>#NAME?</v>
      </c>
      <c r="D61" t="e">
        <f ca="1"/>
        <v>#NAME?</v>
      </c>
      <c r="E61" t="e">
        <f ca="1"/>
        <v>#NAME?</v>
      </c>
      <c r="F61" t="e">
        <f ca="1"/>
        <v>#NAME?</v>
      </c>
      <c r="G61" t="e">
        <f ca="1"/>
        <v>#NAME?</v>
      </c>
      <c r="H61" t="e">
        <f ca="1"/>
        <v>#NAME?</v>
      </c>
      <c r="I61" t="e">
        <f ca="1"/>
        <v>#NAME?</v>
      </c>
      <c r="J61" t="e">
        <f ca="1"/>
        <v>#NAME?</v>
      </c>
      <c r="K61" t="e">
        <f ca="1"/>
        <v>#NAME?</v>
      </c>
      <c r="L61" t="e">
        <f ca="1"/>
        <v>#NAME?</v>
      </c>
      <c r="M61" t="e">
        <f ca="1"/>
        <v>#NAME?</v>
      </c>
      <c r="N61" t="e">
        <f ca="1"/>
        <v>#NAME?</v>
      </c>
      <c r="O61" t="e">
        <f ca="1"/>
        <v>#NAME?</v>
      </c>
      <c r="P61" t="e">
        <f ca="1"/>
        <v>#NAME?</v>
      </c>
      <c r="Q61" t="e">
        <f ca="1"/>
        <v>#NAME?</v>
      </c>
    </row>
    <row r="62" spans="1:17">
      <c r="A62" t="e">
        <f ca="1"/>
        <v>#NAME?</v>
      </c>
      <c r="B62" t="e">
        <f ca="1"/>
        <v>#NAME?</v>
      </c>
      <c r="C62" t="e">
        <f ca="1"/>
        <v>#NAME?</v>
      </c>
      <c r="D62" t="e">
        <f ca="1"/>
        <v>#NAME?</v>
      </c>
      <c r="E62" t="e">
        <f ca="1"/>
        <v>#NAME?</v>
      </c>
      <c r="F62" t="e">
        <f ca="1"/>
        <v>#NAME?</v>
      </c>
      <c r="G62" t="e">
        <f ca="1"/>
        <v>#NAME?</v>
      </c>
      <c r="H62" t="e">
        <f ca="1"/>
        <v>#NAME?</v>
      </c>
      <c r="I62" t="e">
        <f ca="1"/>
        <v>#NAME?</v>
      </c>
      <c r="J62" t="e">
        <f ca="1"/>
        <v>#NAME?</v>
      </c>
      <c r="K62" t="e">
        <f ca="1"/>
        <v>#NAME?</v>
      </c>
      <c r="L62" t="e">
        <f ca="1"/>
        <v>#NAME?</v>
      </c>
      <c r="M62" t="e">
        <f ca="1"/>
        <v>#NAME?</v>
      </c>
      <c r="N62" t="e">
        <f ca="1"/>
        <v>#NAME?</v>
      </c>
      <c r="O62" t="e">
        <f ca="1"/>
        <v>#NAME?</v>
      </c>
      <c r="P62" t="e">
        <f ca="1"/>
        <v>#NAME?</v>
      </c>
      <c r="Q62" t="e">
        <f ca="1"/>
        <v>#NAME?</v>
      </c>
    </row>
    <row r="63" spans="1:17">
      <c r="A63" t="e">
        <f ca="1"/>
        <v>#NAME?</v>
      </c>
      <c r="B63" t="e">
        <f ca="1"/>
        <v>#NAME?</v>
      </c>
      <c r="C63" t="e">
        <f ca="1"/>
        <v>#NAME?</v>
      </c>
      <c r="D63" t="e">
        <f ca="1"/>
        <v>#NAME?</v>
      </c>
      <c r="E63" t="e">
        <f ca="1"/>
        <v>#NAME?</v>
      </c>
      <c r="F63" t="e">
        <f ca="1"/>
        <v>#NAME?</v>
      </c>
      <c r="G63" t="e">
        <f ca="1"/>
        <v>#NAME?</v>
      </c>
      <c r="H63" t="e">
        <f ca="1"/>
        <v>#NAME?</v>
      </c>
      <c r="I63" t="e">
        <f ca="1"/>
        <v>#NAME?</v>
      </c>
      <c r="J63" t="e">
        <f ca="1"/>
        <v>#NAME?</v>
      </c>
      <c r="K63" t="e">
        <f ca="1"/>
        <v>#NAME?</v>
      </c>
      <c r="L63" t="e">
        <f ca="1"/>
        <v>#NAME?</v>
      </c>
      <c r="M63" t="e">
        <f ca="1"/>
        <v>#NAME?</v>
      </c>
      <c r="N63" t="e">
        <f ca="1"/>
        <v>#NAME?</v>
      </c>
      <c r="O63" t="e">
        <f ca="1"/>
        <v>#NAME?</v>
      </c>
      <c r="P63" t="e">
        <f ca="1"/>
        <v>#NAME?</v>
      </c>
      <c r="Q63" t="e">
        <f ca="1"/>
        <v>#NAME?</v>
      </c>
    </row>
    <row r="64" spans="1:17">
      <c r="A64" t="e">
        <f ca="1"/>
        <v>#NAME?</v>
      </c>
      <c r="B64" t="e">
        <f ca="1"/>
        <v>#NAME?</v>
      </c>
      <c r="C64" t="e">
        <f ca="1"/>
        <v>#NAME?</v>
      </c>
      <c r="D64" t="e">
        <f ca="1"/>
        <v>#NAME?</v>
      </c>
      <c r="E64" t="e">
        <f ca="1"/>
        <v>#NAME?</v>
      </c>
      <c r="F64" t="e">
        <f ca="1"/>
        <v>#NAME?</v>
      </c>
      <c r="G64" t="e">
        <f ca="1"/>
        <v>#NAME?</v>
      </c>
      <c r="H64" t="e">
        <f ca="1"/>
        <v>#NAME?</v>
      </c>
      <c r="I64" t="e">
        <f ca="1"/>
        <v>#NAME?</v>
      </c>
      <c r="J64" t="e">
        <f ca="1"/>
        <v>#NAME?</v>
      </c>
      <c r="K64" t="e">
        <f ca="1"/>
        <v>#NAME?</v>
      </c>
      <c r="L64" t="e">
        <f ca="1"/>
        <v>#NAME?</v>
      </c>
      <c r="M64" t="e">
        <f ca="1"/>
        <v>#NAME?</v>
      </c>
      <c r="N64" t="e">
        <f ca="1"/>
        <v>#NAME?</v>
      </c>
      <c r="O64" t="e">
        <f ca="1"/>
        <v>#NAME?</v>
      </c>
      <c r="P64" t="e">
        <f ca="1"/>
        <v>#NAME?</v>
      </c>
      <c r="Q64" t="e">
        <f ca="1"/>
        <v>#NAME?</v>
      </c>
    </row>
    <row r="65" spans="1:17">
      <c r="A65" t="e">
        <f ca="1"/>
        <v>#NAME?</v>
      </c>
      <c r="B65" t="e">
        <f ca="1"/>
        <v>#NAME?</v>
      </c>
      <c r="C65" t="e">
        <f ca="1"/>
        <v>#NAME?</v>
      </c>
      <c r="D65" t="e">
        <f ca="1"/>
        <v>#NAME?</v>
      </c>
      <c r="E65" t="e">
        <f ca="1"/>
        <v>#NAME?</v>
      </c>
      <c r="F65" t="e">
        <f ca="1"/>
        <v>#NAME?</v>
      </c>
      <c r="G65" t="e">
        <f ca="1"/>
        <v>#NAME?</v>
      </c>
      <c r="H65" t="e">
        <f ca="1"/>
        <v>#NAME?</v>
      </c>
      <c r="I65" t="e">
        <f ca="1"/>
        <v>#NAME?</v>
      </c>
      <c r="J65" t="e">
        <f ca="1"/>
        <v>#NAME?</v>
      </c>
      <c r="K65" t="e">
        <f ca="1"/>
        <v>#NAME?</v>
      </c>
      <c r="L65" t="e">
        <f ca="1"/>
        <v>#NAME?</v>
      </c>
      <c r="M65" t="e">
        <f ca="1"/>
        <v>#NAME?</v>
      </c>
      <c r="N65" t="e">
        <f ca="1"/>
        <v>#NAME?</v>
      </c>
      <c r="O65" t="e">
        <f ca="1"/>
        <v>#NAME?</v>
      </c>
      <c r="P65" t="e">
        <f ca="1"/>
        <v>#NAME?</v>
      </c>
      <c r="Q65" t="e">
        <f ca="1"/>
        <v>#NAME?</v>
      </c>
    </row>
    <row r="66" spans="1:17">
      <c r="A66" t="e">
        <f ca="1"/>
        <v>#NAME?</v>
      </c>
      <c r="B66" t="e">
        <f ca="1"/>
        <v>#NAME?</v>
      </c>
      <c r="C66" t="e">
        <f ca="1"/>
        <v>#NAME?</v>
      </c>
      <c r="D66" t="e">
        <f ca="1"/>
        <v>#NAME?</v>
      </c>
      <c r="E66" t="e">
        <f ca="1"/>
        <v>#NAME?</v>
      </c>
      <c r="F66" t="e">
        <f ca="1"/>
        <v>#NAME?</v>
      </c>
      <c r="G66" t="e">
        <f ca="1"/>
        <v>#NAME?</v>
      </c>
      <c r="H66" t="e">
        <f ca="1"/>
        <v>#NAME?</v>
      </c>
      <c r="I66" t="e">
        <f ca="1"/>
        <v>#NAME?</v>
      </c>
      <c r="J66" t="e">
        <f ca="1"/>
        <v>#NAME?</v>
      </c>
      <c r="K66" t="e">
        <f ca="1"/>
        <v>#NAME?</v>
      </c>
      <c r="L66" t="e">
        <f ca="1"/>
        <v>#NAME?</v>
      </c>
      <c r="M66" t="e">
        <f ca="1"/>
        <v>#NAME?</v>
      </c>
      <c r="N66" t="e">
        <f ca="1"/>
        <v>#NAME?</v>
      </c>
      <c r="O66" t="e">
        <f ca="1"/>
        <v>#NAME?</v>
      </c>
      <c r="P66" t="e">
        <f ca="1"/>
        <v>#NAME?</v>
      </c>
      <c r="Q66" t="e">
        <f ca="1"/>
        <v>#NAME?</v>
      </c>
    </row>
    <row r="67" spans="1:17">
      <c r="A67" t="e">
        <f ca="1"/>
        <v>#NAME?</v>
      </c>
      <c r="B67" t="e">
        <f ca="1"/>
        <v>#NAME?</v>
      </c>
      <c r="C67" t="e">
        <f ca="1"/>
        <v>#NAME?</v>
      </c>
      <c r="D67" t="e">
        <f ca="1"/>
        <v>#NAME?</v>
      </c>
      <c r="E67" t="e">
        <f ca="1"/>
        <v>#NAME?</v>
      </c>
      <c r="F67" t="e">
        <f ca="1"/>
        <v>#NAME?</v>
      </c>
      <c r="G67" t="e">
        <f ca="1"/>
        <v>#NAME?</v>
      </c>
      <c r="H67" t="e">
        <f ca="1"/>
        <v>#NAME?</v>
      </c>
      <c r="I67" t="e">
        <f ca="1"/>
        <v>#NAME?</v>
      </c>
      <c r="J67" t="e">
        <f ca="1"/>
        <v>#NAME?</v>
      </c>
      <c r="K67" t="e">
        <f ca="1"/>
        <v>#NAME?</v>
      </c>
      <c r="L67" t="e">
        <f ca="1"/>
        <v>#NAME?</v>
      </c>
      <c r="M67" t="e">
        <f ca="1"/>
        <v>#NAME?</v>
      </c>
      <c r="N67" t="e">
        <f ca="1"/>
        <v>#NAME?</v>
      </c>
      <c r="O67" t="e">
        <f ca="1"/>
        <v>#NAME?</v>
      </c>
      <c r="P67" t="e">
        <f ca="1"/>
        <v>#NAME?</v>
      </c>
      <c r="Q67" t="e">
        <f ca="1"/>
        <v>#NAME?</v>
      </c>
    </row>
    <row r="68" spans="1:17">
      <c r="A68" t="e">
        <f ca="1"/>
        <v>#NAME?</v>
      </c>
      <c r="B68" t="e">
        <f ca="1"/>
        <v>#NAME?</v>
      </c>
      <c r="C68" t="e">
        <f ca="1"/>
        <v>#NAME?</v>
      </c>
      <c r="D68" t="e">
        <f ca="1"/>
        <v>#NAME?</v>
      </c>
      <c r="E68" t="e">
        <f ca="1"/>
        <v>#NAME?</v>
      </c>
      <c r="F68" t="e">
        <f ca="1"/>
        <v>#NAME?</v>
      </c>
      <c r="G68" t="e">
        <f ca="1"/>
        <v>#NAME?</v>
      </c>
      <c r="H68" t="e">
        <f ca="1"/>
        <v>#NAME?</v>
      </c>
      <c r="I68" t="e">
        <f ca="1"/>
        <v>#NAME?</v>
      </c>
      <c r="J68" t="e">
        <f ca="1"/>
        <v>#NAME?</v>
      </c>
      <c r="K68" t="e">
        <f ca="1"/>
        <v>#NAME?</v>
      </c>
      <c r="L68" t="e">
        <f ca="1"/>
        <v>#NAME?</v>
      </c>
      <c r="M68" t="e">
        <f ca="1"/>
        <v>#NAME?</v>
      </c>
      <c r="N68" t="e">
        <f ca="1"/>
        <v>#NAME?</v>
      </c>
      <c r="O68" t="e">
        <f ca="1"/>
        <v>#NAME?</v>
      </c>
      <c r="P68" t="e">
        <f ca="1"/>
        <v>#NAME?</v>
      </c>
      <c r="Q68" t="e">
        <f ca="1"/>
        <v>#NAME?</v>
      </c>
    </row>
    <row r="69" spans="1:17">
      <c r="A69" t="e">
        <f ca="1"/>
        <v>#NAME?</v>
      </c>
      <c r="B69" t="e">
        <f ca="1"/>
        <v>#NAME?</v>
      </c>
      <c r="C69" t="e">
        <f ca="1"/>
        <v>#NAME?</v>
      </c>
      <c r="D69" t="e">
        <f ca="1"/>
        <v>#NAME?</v>
      </c>
      <c r="E69" t="e">
        <f ca="1"/>
        <v>#NAME?</v>
      </c>
      <c r="F69" t="e">
        <f ca="1"/>
        <v>#NAME?</v>
      </c>
      <c r="G69" t="e">
        <f ca="1"/>
        <v>#NAME?</v>
      </c>
      <c r="H69" t="e">
        <f ca="1"/>
        <v>#NAME?</v>
      </c>
      <c r="I69" t="e">
        <f ca="1"/>
        <v>#NAME?</v>
      </c>
      <c r="J69" t="e">
        <f ca="1"/>
        <v>#NAME?</v>
      </c>
      <c r="K69" t="e">
        <f ca="1"/>
        <v>#NAME?</v>
      </c>
      <c r="L69" t="e">
        <f ca="1"/>
        <v>#NAME?</v>
      </c>
      <c r="M69" t="e">
        <f ca="1"/>
        <v>#NAME?</v>
      </c>
      <c r="N69" t="e">
        <f ca="1"/>
        <v>#NAME?</v>
      </c>
      <c r="O69" t="e">
        <f ca="1"/>
        <v>#NAME?</v>
      </c>
      <c r="P69" t="e">
        <f ca="1"/>
        <v>#NAME?</v>
      </c>
      <c r="Q69" t="e">
        <f ca="1"/>
        <v>#NAME?</v>
      </c>
    </row>
    <row r="70" spans="1:17">
      <c r="A70" t="e">
        <f ca="1"/>
        <v>#NAME?</v>
      </c>
      <c r="B70" t="e">
        <f ca="1"/>
        <v>#NAME?</v>
      </c>
      <c r="C70" t="e">
        <f ca="1"/>
        <v>#NAME?</v>
      </c>
      <c r="D70" t="e">
        <f ca="1"/>
        <v>#NAME?</v>
      </c>
      <c r="E70" t="e">
        <f ca="1"/>
        <v>#NAME?</v>
      </c>
      <c r="F70" t="e">
        <f ca="1"/>
        <v>#NAME?</v>
      </c>
      <c r="G70" t="e">
        <f ca="1"/>
        <v>#NAME?</v>
      </c>
      <c r="H70" t="e">
        <f ca="1"/>
        <v>#NAME?</v>
      </c>
      <c r="I70" t="e">
        <f ca="1"/>
        <v>#NAME?</v>
      </c>
      <c r="J70" t="e">
        <f ca="1"/>
        <v>#NAME?</v>
      </c>
      <c r="K70" t="e">
        <f ca="1"/>
        <v>#NAME?</v>
      </c>
      <c r="L70" t="e">
        <f ca="1"/>
        <v>#NAME?</v>
      </c>
      <c r="M70" t="e">
        <f ca="1"/>
        <v>#NAME?</v>
      </c>
      <c r="N70" t="e">
        <f ca="1"/>
        <v>#NAME?</v>
      </c>
      <c r="O70" t="e">
        <f ca="1"/>
        <v>#NAME?</v>
      </c>
      <c r="P70" t="e">
        <f ca="1"/>
        <v>#NAME?</v>
      </c>
      <c r="Q70" t="e">
        <f ca="1"/>
        <v>#NAME?</v>
      </c>
    </row>
    <row r="71" spans="1:17">
      <c r="A71" t="e">
        <f ca="1"/>
        <v>#NAME?</v>
      </c>
      <c r="B71" t="e">
        <f ca="1"/>
        <v>#NAME?</v>
      </c>
      <c r="C71" t="e">
        <f ca="1"/>
        <v>#NAME?</v>
      </c>
      <c r="D71" t="e">
        <f ca="1"/>
        <v>#NAME?</v>
      </c>
      <c r="E71" t="e">
        <f ca="1"/>
        <v>#NAME?</v>
      </c>
      <c r="F71" t="e">
        <f ca="1"/>
        <v>#NAME?</v>
      </c>
      <c r="G71" t="e">
        <f ca="1"/>
        <v>#NAME?</v>
      </c>
      <c r="H71" t="e">
        <f ca="1"/>
        <v>#NAME?</v>
      </c>
      <c r="I71" t="e">
        <f ca="1"/>
        <v>#NAME?</v>
      </c>
      <c r="J71" t="e">
        <f ca="1"/>
        <v>#NAME?</v>
      </c>
      <c r="K71" t="e">
        <f ca="1"/>
        <v>#NAME?</v>
      </c>
      <c r="L71" t="e">
        <f ca="1"/>
        <v>#NAME?</v>
      </c>
      <c r="M71" t="e">
        <f ca="1"/>
        <v>#NAME?</v>
      </c>
      <c r="N71" t="e">
        <f ca="1"/>
        <v>#NAME?</v>
      </c>
      <c r="O71" t="e">
        <f ca="1"/>
        <v>#NAME?</v>
      </c>
      <c r="P71" t="e">
        <f ca="1"/>
        <v>#NAME?</v>
      </c>
      <c r="Q71" t="e">
        <f ca="1"/>
        <v>#NAME?</v>
      </c>
    </row>
    <row r="72" spans="1:17">
      <c r="A72" t="e">
        <f ca="1"/>
        <v>#NAME?</v>
      </c>
      <c r="B72" t="e">
        <f ca="1"/>
        <v>#NAME?</v>
      </c>
      <c r="C72" t="e">
        <f ca="1"/>
        <v>#NAME?</v>
      </c>
      <c r="D72" t="e">
        <f ca="1"/>
        <v>#NAME?</v>
      </c>
      <c r="E72" t="e">
        <f ca="1"/>
        <v>#NAME?</v>
      </c>
      <c r="F72" t="e">
        <f ca="1"/>
        <v>#NAME?</v>
      </c>
      <c r="G72" t="e">
        <f ca="1"/>
        <v>#NAME?</v>
      </c>
      <c r="H72" t="e">
        <f ca="1"/>
        <v>#NAME?</v>
      </c>
      <c r="I72" t="e">
        <f ca="1"/>
        <v>#NAME?</v>
      </c>
      <c r="J72" t="e">
        <f ca="1"/>
        <v>#NAME?</v>
      </c>
      <c r="K72" t="e">
        <f ca="1"/>
        <v>#NAME?</v>
      </c>
      <c r="L72" t="e">
        <f ca="1"/>
        <v>#NAME?</v>
      </c>
      <c r="M72" t="e">
        <f ca="1"/>
        <v>#NAME?</v>
      </c>
      <c r="N72" t="e">
        <f ca="1"/>
        <v>#NAME?</v>
      </c>
      <c r="O72" t="e">
        <f ca="1"/>
        <v>#NAME?</v>
      </c>
      <c r="P72" t="e">
        <f ca="1"/>
        <v>#NAME?</v>
      </c>
      <c r="Q72" t="e">
        <f ca="1"/>
        <v>#NAME?</v>
      </c>
    </row>
    <row r="73" spans="1:17">
      <c r="A73" t="e">
        <f ca="1"/>
        <v>#NAME?</v>
      </c>
      <c r="B73" t="e">
        <f ca="1"/>
        <v>#NAME?</v>
      </c>
      <c r="C73" t="e">
        <f ca="1"/>
        <v>#NAME?</v>
      </c>
      <c r="D73" t="e">
        <f ca="1"/>
        <v>#NAME?</v>
      </c>
      <c r="E73" t="e">
        <f ca="1"/>
        <v>#NAME?</v>
      </c>
      <c r="F73" t="e">
        <f ca="1"/>
        <v>#NAME?</v>
      </c>
      <c r="G73" t="e">
        <f ca="1"/>
        <v>#NAME?</v>
      </c>
      <c r="H73" t="e">
        <f ca="1"/>
        <v>#NAME?</v>
      </c>
      <c r="I73" t="e">
        <f ca="1"/>
        <v>#NAME?</v>
      </c>
      <c r="J73" t="e">
        <f ca="1"/>
        <v>#NAME?</v>
      </c>
      <c r="K73" t="e">
        <f ca="1"/>
        <v>#NAME?</v>
      </c>
      <c r="L73" t="e">
        <f ca="1"/>
        <v>#NAME?</v>
      </c>
      <c r="M73" t="e">
        <f ca="1"/>
        <v>#NAME?</v>
      </c>
      <c r="N73" t="e">
        <f ca="1"/>
        <v>#NAME?</v>
      </c>
      <c r="O73" t="e">
        <f ca="1"/>
        <v>#NAME?</v>
      </c>
      <c r="P73" t="e">
        <f ca="1"/>
        <v>#NAME?</v>
      </c>
      <c r="Q73" t="e">
        <f ca="1"/>
        <v>#NAME?</v>
      </c>
    </row>
    <row r="74" spans="1:17">
      <c r="A74" t="e">
        <f ca="1"/>
        <v>#NAME?</v>
      </c>
      <c r="B74" t="e">
        <f ca="1"/>
        <v>#NAME?</v>
      </c>
      <c r="C74" t="e">
        <f ca="1"/>
        <v>#NAME?</v>
      </c>
      <c r="D74" t="e">
        <f ca="1"/>
        <v>#NAME?</v>
      </c>
      <c r="E74" t="e">
        <f ca="1"/>
        <v>#NAME?</v>
      </c>
      <c r="F74" t="e">
        <f ca="1"/>
        <v>#NAME?</v>
      </c>
      <c r="G74" t="e">
        <f ca="1"/>
        <v>#NAME?</v>
      </c>
      <c r="H74" t="e">
        <f ca="1"/>
        <v>#NAME?</v>
      </c>
      <c r="I74" t="e">
        <f ca="1"/>
        <v>#NAME?</v>
      </c>
      <c r="J74" t="e">
        <f ca="1"/>
        <v>#NAME?</v>
      </c>
      <c r="K74" t="e">
        <f ca="1"/>
        <v>#NAME?</v>
      </c>
      <c r="L74" t="e">
        <f ca="1"/>
        <v>#NAME?</v>
      </c>
      <c r="M74" t="e">
        <f ca="1"/>
        <v>#NAME?</v>
      </c>
      <c r="N74" t="e">
        <f ca="1"/>
        <v>#NAME?</v>
      </c>
      <c r="O74" t="e">
        <f ca="1"/>
        <v>#NAME?</v>
      </c>
      <c r="P74" t="e">
        <f ca="1"/>
        <v>#NAME?</v>
      </c>
      <c r="Q74" t="e">
        <f ca="1"/>
        <v>#NAME?</v>
      </c>
    </row>
    <row r="75" spans="1:17">
      <c r="A75" t="e">
        <f ca="1"/>
        <v>#NAME?</v>
      </c>
      <c r="B75" t="e">
        <f ca="1"/>
        <v>#NAME?</v>
      </c>
      <c r="C75" t="e">
        <f ca="1"/>
        <v>#NAME?</v>
      </c>
      <c r="D75" t="e">
        <f ca="1"/>
        <v>#NAME?</v>
      </c>
      <c r="E75" t="e">
        <f ca="1"/>
        <v>#NAME?</v>
      </c>
      <c r="F75" t="e">
        <f ca="1"/>
        <v>#NAME?</v>
      </c>
      <c r="G75" t="e">
        <f ca="1"/>
        <v>#NAME?</v>
      </c>
      <c r="H75" t="e">
        <f ca="1"/>
        <v>#NAME?</v>
      </c>
      <c r="I75" t="e">
        <f ca="1"/>
        <v>#NAME?</v>
      </c>
      <c r="J75" t="e">
        <f ca="1"/>
        <v>#NAME?</v>
      </c>
      <c r="K75" t="e">
        <f ca="1"/>
        <v>#NAME?</v>
      </c>
      <c r="L75" t="e">
        <f ca="1"/>
        <v>#NAME?</v>
      </c>
      <c r="M75" t="e">
        <f ca="1"/>
        <v>#NAME?</v>
      </c>
      <c r="N75" t="e">
        <f ca="1"/>
        <v>#NAME?</v>
      </c>
      <c r="O75" t="e">
        <f ca="1"/>
        <v>#NAME?</v>
      </c>
      <c r="P75" t="e">
        <f ca="1"/>
        <v>#NAME?</v>
      </c>
      <c r="Q75" t="e">
        <f ca="1"/>
        <v>#NAME?</v>
      </c>
    </row>
    <row r="76" spans="1:17">
      <c r="A76" t="e">
        <f ca="1"/>
        <v>#NAME?</v>
      </c>
      <c r="B76" t="e">
        <f ca="1"/>
        <v>#NAME?</v>
      </c>
      <c r="C76" t="e">
        <f ca="1"/>
        <v>#NAME?</v>
      </c>
      <c r="D76" t="e">
        <f ca="1"/>
        <v>#NAME?</v>
      </c>
      <c r="E76" t="e">
        <f ca="1"/>
        <v>#NAME?</v>
      </c>
      <c r="F76" t="e">
        <f ca="1"/>
        <v>#NAME?</v>
      </c>
      <c r="G76" t="e">
        <f ca="1"/>
        <v>#NAME?</v>
      </c>
      <c r="H76" t="e">
        <f ca="1"/>
        <v>#NAME?</v>
      </c>
      <c r="I76" t="e">
        <f ca="1"/>
        <v>#NAME?</v>
      </c>
      <c r="J76" t="e">
        <f ca="1"/>
        <v>#NAME?</v>
      </c>
      <c r="K76" t="e">
        <f ca="1"/>
        <v>#NAME?</v>
      </c>
      <c r="L76" t="e">
        <f ca="1"/>
        <v>#NAME?</v>
      </c>
      <c r="M76" t="e">
        <f ca="1"/>
        <v>#NAME?</v>
      </c>
      <c r="N76" t="e">
        <f ca="1"/>
        <v>#NAME?</v>
      </c>
      <c r="O76" t="e">
        <f ca="1"/>
        <v>#NAME?</v>
      </c>
      <c r="P76" t="e">
        <f ca="1"/>
        <v>#NAME?</v>
      </c>
      <c r="Q76" t="e">
        <f ca="1"/>
        <v>#NAME?</v>
      </c>
    </row>
    <row r="77" spans="1:17">
      <c r="A77" t="e">
        <f ca="1"/>
        <v>#NAME?</v>
      </c>
      <c r="B77" t="e">
        <f ca="1"/>
        <v>#NAME?</v>
      </c>
      <c r="C77" t="e">
        <f ca="1"/>
        <v>#NAME?</v>
      </c>
      <c r="D77" t="e">
        <f ca="1"/>
        <v>#NAME?</v>
      </c>
      <c r="E77" t="e">
        <f ca="1"/>
        <v>#NAME?</v>
      </c>
      <c r="F77" t="e">
        <f ca="1"/>
        <v>#NAME?</v>
      </c>
      <c r="G77" t="e">
        <f ca="1"/>
        <v>#NAME?</v>
      </c>
      <c r="H77" t="e">
        <f ca="1"/>
        <v>#NAME?</v>
      </c>
      <c r="I77" t="e">
        <f ca="1"/>
        <v>#NAME?</v>
      </c>
      <c r="J77" t="e">
        <f ca="1"/>
        <v>#NAME?</v>
      </c>
      <c r="K77" t="e">
        <f ca="1"/>
        <v>#NAME?</v>
      </c>
      <c r="L77" t="e">
        <f ca="1"/>
        <v>#NAME?</v>
      </c>
      <c r="M77" t="e">
        <f ca="1"/>
        <v>#NAME?</v>
      </c>
      <c r="N77" t="e">
        <f ca="1"/>
        <v>#NAME?</v>
      </c>
      <c r="O77" t="e">
        <f ca="1"/>
        <v>#NAME?</v>
      </c>
      <c r="P77" t="e">
        <f ca="1"/>
        <v>#NAME?</v>
      </c>
      <c r="Q77" t="e">
        <f ca="1"/>
        <v>#NAME?</v>
      </c>
    </row>
    <row r="78" spans="1:17">
      <c r="A78" t="e">
        <f ca="1"/>
        <v>#NAME?</v>
      </c>
      <c r="B78" t="e">
        <f ca="1"/>
        <v>#NAME?</v>
      </c>
      <c r="C78" t="e">
        <f ca="1"/>
        <v>#NAME?</v>
      </c>
      <c r="D78" t="e">
        <f ca="1"/>
        <v>#NAME?</v>
      </c>
      <c r="E78" t="e">
        <f ca="1"/>
        <v>#NAME?</v>
      </c>
      <c r="F78" t="e">
        <f ca="1"/>
        <v>#NAME?</v>
      </c>
      <c r="G78" t="e">
        <f ca="1"/>
        <v>#NAME?</v>
      </c>
      <c r="H78" t="e">
        <f ca="1"/>
        <v>#NAME?</v>
      </c>
      <c r="I78" t="e">
        <f ca="1"/>
        <v>#NAME?</v>
      </c>
      <c r="J78" t="e">
        <f ca="1"/>
        <v>#NAME?</v>
      </c>
      <c r="K78" t="e">
        <f ca="1"/>
        <v>#NAME?</v>
      </c>
      <c r="L78" t="e">
        <f ca="1"/>
        <v>#NAME?</v>
      </c>
      <c r="M78" t="e">
        <f ca="1"/>
        <v>#NAME?</v>
      </c>
      <c r="N78" t="e">
        <f ca="1"/>
        <v>#NAME?</v>
      </c>
      <c r="O78" t="e">
        <f ca="1"/>
        <v>#NAME?</v>
      </c>
      <c r="P78" t="e">
        <f ca="1"/>
        <v>#NAME?</v>
      </c>
      <c r="Q78" t="e">
        <f ca="1"/>
        <v>#NAME?</v>
      </c>
    </row>
    <row r="79" spans="1:17">
      <c r="A79" t="e">
        <f ca="1"/>
        <v>#NAME?</v>
      </c>
      <c r="B79" t="e">
        <f ca="1"/>
        <v>#NAME?</v>
      </c>
      <c r="C79" t="e">
        <f ca="1"/>
        <v>#NAME?</v>
      </c>
      <c r="D79" t="e">
        <f ca="1"/>
        <v>#NAME?</v>
      </c>
      <c r="E79" t="e">
        <f ca="1"/>
        <v>#NAME?</v>
      </c>
      <c r="F79" t="e">
        <f ca="1"/>
        <v>#NAME?</v>
      </c>
      <c r="G79" t="e">
        <f ca="1"/>
        <v>#NAME?</v>
      </c>
      <c r="H79" t="e">
        <f ca="1"/>
        <v>#NAME?</v>
      </c>
      <c r="I79" t="e">
        <f ca="1"/>
        <v>#NAME?</v>
      </c>
      <c r="J79" t="e">
        <f ca="1"/>
        <v>#NAME?</v>
      </c>
      <c r="K79" t="e">
        <f ca="1"/>
        <v>#NAME?</v>
      </c>
      <c r="L79" t="e">
        <f ca="1"/>
        <v>#NAME?</v>
      </c>
      <c r="M79" t="e">
        <f ca="1"/>
        <v>#NAME?</v>
      </c>
      <c r="N79" t="e">
        <f ca="1"/>
        <v>#NAME?</v>
      </c>
      <c r="O79" t="e">
        <f ca="1"/>
        <v>#NAME?</v>
      </c>
      <c r="P79" t="e">
        <f ca="1"/>
        <v>#NAME?</v>
      </c>
      <c r="Q79" t="e">
        <f ca="1"/>
        <v>#NAME?</v>
      </c>
    </row>
    <row r="80" spans="1:17">
      <c r="A80" t="e">
        <f ca="1"/>
        <v>#NAME?</v>
      </c>
      <c r="B80" t="e">
        <f ca="1"/>
        <v>#NAME?</v>
      </c>
      <c r="C80" t="e">
        <f ca="1"/>
        <v>#NAME?</v>
      </c>
      <c r="D80" t="e">
        <f ca="1"/>
        <v>#NAME?</v>
      </c>
      <c r="E80" t="e">
        <f ca="1"/>
        <v>#NAME?</v>
      </c>
      <c r="F80" t="e">
        <f ca="1"/>
        <v>#NAME?</v>
      </c>
      <c r="G80" t="e">
        <f ca="1"/>
        <v>#NAME?</v>
      </c>
      <c r="H80" t="e">
        <f ca="1"/>
        <v>#NAME?</v>
      </c>
      <c r="I80" t="e">
        <f ca="1"/>
        <v>#NAME?</v>
      </c>
      <c r="J80" t="e">
        <f ca="1"/>
        <v>#NAME?</v>
      </c>
      <c r="K80" t="e">
        <f ca="1"/>
        <v>#NAME?</v>
      </c>
      <c r="L80" t="e">
        <f ca="1"/>
        <v>#NAME?</v>
      </c>
      <c r="M80" t="e">
        <f ca="1"/>
        <v>#NAME?</v>
      </c>
      <c r="N80" t="e">
        <f ca="1"/>
        <v>#NAME?</v>
      </c>
      <c r="O80" t="e">
        <f ca="1"/>
        <v>#NAME?</v>
      </c>
      <c r="P80" t="e">
        <f ca="1"/>
        <v>#NAME?</v>
      </c>
      <c r="Q80" t="e">
        <f ca="1"/>
        <v>#NAME?</v>
      </c>
    </row>
    <row r="81" spans="1:17">
      <c r="A81" t="e">
        <f ca="1"/>
        <v>#NAME?</v>
      </c>
      <c r="B81" t="e">
        <f ca="1"/>
        <v>#NAME?</v>
      </c>
      <c r="C81" t="e">
        <f ca="1"/>
        <v>#NAME?</v>
      </c>
      <c r="D81" t="e">
        <f ca="1"/>
        <v>#NAME?</v>
      </c>
      <c r="E81" t="e">
        <f ca="1"/>
        <v>#NAME?</v>
      </c>
      <c r="F81" t="e">
        <f ca="1"/>
        <v>#NAME?</v>
      </c>
      <c r="G81" t="e">
        <f ca="1"/>
        <v>#NAME?</v>
      </c>
      <c r="H81" t="e">
        <f ca="1"/>
        <v>#NAME?</v>
      </c>
      <c r="I81" t="e">
        <f ca="1"/>
        <v>#NAME?</v>
      </c>
      <c r="J81" t="e">
        <f ca="1"/>
        <v>#NAME?</v>
      </c>
      <c r="K81" t="e">
        <f ca="1"/>
        <v>#NAME?</v>
      </c>
      <c r="L81" t="e">
        <f ca="1"/>
        <v>#NAME?</v>
      </c>
      <c r="M81" t="e">
        <f ca="1"/>
        <v>#NAME?</v>
      </c>
      <c r="N81" t="e">
        <f ca="1"/>
        <v>#NAME?</v>
      </c>
      <c r="O81" t="e">
        <f ca="1"/>
        <v>#NAME?</v>
      </c>
      <c r="P81" t="e">
        <f ca="1"/>
        <v>#NAME?</v>
      </c>
      <c r="Q81" t="e">
        <f ca="1"/>
        <v>#NAME?</v>
      </c>
    </row>
    <row r="82" spans="1:17">
      <c r="A82" t="e">
        <f ca="1"/>
        <v>#NAME?</v>
      </c>
      <c r="B82" t="e">
        <f ca="1"/>
        <v>#NAME?</v>
      </c>
      <c r="C82" t="e">
        <f ca="1"/>
        <v>#NAME?</v>
      </c>
      <c r="D82" t="e">
        <f ca="1"/>
        <v>#NAME?</v>
      </c>
      <c r="E82" t="e">
        <f ca="1"/>
        <v>#NAME?</v>
      </c>
      <c r="F82" t="e">
        <f ca="1"/>
        <v>#NAME?</v>
      </c>
      <c r="G82" t="e">
        <f ca="1"/>
        <v>#NAME?</v>
      </c>
      <c r="H82" t="e">
        <f ca="1"/>
        <v>#NAME?</v>
      </c>
      <c r="I82" t="e">
        <f ca="1"/>
        <v>#NAME?</v>
      </c>
      <c r="J82" t="e">
        <f ca="1"/>
        <v>#NAME?</v>
      </c>
      <c r="K82" t="e">
        <f ca="1"/>
        <v>#NAME?</v>
      </c>
      <c r="L82" t="e">
        <f ca="1"/>
        <v>#NAME?</v>
      </c>
      <c r="M82" t="e">
        <f ca="1"/>
        <v>#NAME?</v>
      </c>
      <c r="N82" t="e">
        <f ca="1"/>
        <v>#NAME?</v>
      </c>
      <c r="O82" t="e">
        <f ca="1"/>
        <v>#NAME?</v>
      </c>
      <c r="P82" t="e">
        <f ca="1"/>
        <v>#NAME?</v>
      </c>
      <c r="Q82" t="e">
        <f ca="1"/>
        <v>#NAME?</v>
      </c>
    </row>
    <row r="83" spans="1:17">
      <c r="A83" t="e">
        <f ca="1"/>
        <v>#NAME?</v>
      </c>
      <c r="B83" t="e">
        <f ca="1"/>
        <v>#NAME?</v>
      </c>
      <c r="C83" t="e">
        <f ca="1"/>
        <v>#NAME?</v>
      </c>
      <c r="D83" t="e">
        <f ca="1"/>
        <v>#NAME?</v>
      </c>
      <c r="E83" t="e">
        <f ca="1"/>
        <v>#NAME?</v>
      </c>
      <c r="F83" t="e">
        <f ca="1"/>
        <v>#NAME?</v>
      </c>
      <c r="G83" t="e">
        <f ca="1"/>
        <v>#NAME?</v>
      </c>
      <c r="H83" t="e">
        <f ca="1"/>
        <v>#NAME?</v>
      </c>
      <c r="I83" t="e">
        <f ca="1"/>
        <v>#NAME?</v>
      </c>
      <c r="J83" t="e">
        <f ca="1"/>
        <v>#NAME?</v>
      </c>
      <c r="K83" t="e">
        <f ca="1"/>
        <v>#NAME?</v>
      </c>
      <c r="L83" t="e">
        <f ca="1"/>
        <v>#NAME?</v>
      </c>
      <c r="M83" t="e">
        <f ca="1"/>
        <v>#NAME?</v>
      </c>
      <c r="N83" t="e">
        <f ca="1"/>
        <v>#NAME?</v>
      </c>
      <c r="O83" t="e">
        <f ca="1"/>
        <v>#NAME?</v>
      </c>
      <c r="P83" t="e">
        <f ca="1"/>
        <v>#NAME?</v>
      </c>
      <c r="Q83" t="e">
        <f ca="1"/>
        <v>#NAME?</v>
      </c>
    </row>
    <row r="84" spans="1:17">
      <c r="A84" t="e">
        <f ca="1"/>
        <v>#NAME?</v>
      </c>
      <c r="B84" t="e">
        <f ca="1"/>
        <v>#NAME?</v>
      </c>
      <c r="C84" t="e">
        <f ca="1"/>
        <v>#NAME?</v>
      </c>
      <c r="D84" t="e">
        <f ca="1"/>
        <v>#NAME?</v>
      </c>
      <c r="E84" t="e">
        <f ca="1"/>
        <v>#NAME?</v>
      </c>
      <c r="F84" t="e">
        <f ca="1"/>
        <v>#NAME?</v>
      </c>
      <c r="G84" t="e">
        <f ca="1"/>
        <v>#NAME?</v>
      </c>
      <c r="H84" t="e">
        <f ca="1"/>
        <v>#NAME?</v>
      </c>
      <c r="I84" t="e">
        <f ca="1"/>
        <v>#NAME?</v>
      </c>
      <c r="J84" t="e">
        <f ca="1"/>
        <v>#NAME?</v>
      </c>
      <c r="K84" t="e">
        <f ca="1"/>
        <v>#NAME?</v>
      </c>
      <c r="L84" t="e">
        <f ca="1"/>
        <v>#NAME?</v>
      </c>
      <c r="M84" t="e">
        <f ca="1"/>
        <v>#NAME?</v>
      </c>
      <c r="N84" t="e">
        <f ca="1"/>
        <v>#NAME?</v>
      </c>
      <c r="O84" t="e">
        <f ca="1"/>
        <v>#NAME?</v>
      </c>
      <c r="P84" t="e">
        <f ca="1"/>
        <v>#NAME?</v>
      </c>
      <c r="Q84" t="e">
        <f ca="1"/>
        <v>#NAME?</v>
      </c>
    </row>
    <row r="85" spans="1:17">
      <c r="A85" t="e">
        <f ca="1"/>
        <v>#NAME?</v>
      </c>
      <c r="B85" t="e">
        <f ca="1"/>
        <v>#NAME?</v>
      </c>
      <c r="C85" t="e">
        <f ca="1"/>
        <v>#NAME?</v>
      </c>
      <c r="D85" t="e">
        <f ca="1"/>
        <v>#NAME?</v>
      </c>
      <c r="E85" t="e">
        <f ca="1"/>
        <v>#NAME?</v>
      </c>
      <c r="F85" t="e">
        <f ca="1"/>
        <v>#NAME?</v>
      </c>
      <c r="G85" t="e">
        <f ca="1"/>
        <v>#NAME?</v>
      </c>
      <c r="H85" t="e">
        <f ca="1"/>
        <v>#NAME?</v>
      </c>
      <c r="I85" t="e">
        <f ca="1"/>
        <v>#NAME?</v>
      </c>
      <c r="J85" t="e">
        <f ca="1"/>
        <v>#NAME?</v>
      </c>
      <c r="K85" t="e">
        <f ca="1"/>
        <v>#NAME?</v>
      </c>
      <c r="L85" t="e">
        <f ca="1"/>
        <v>#NAME?</v>
      </c>
      <c r="M85" t="e">
        <f ca="1"/>
        <v>#NAME?</v>
      </c>
      <c r="N85" t="e">
        <f ca="1"/>
        <v>#NAME?</v>
      </c>
      <c r="O85" t="e">
        <f ca="1"/>
        <v>#NAME?</v>
      </c>
      <c r="P85" t="e">
        <f ca="1"/>
        <v>#NAME?</v>
      </c>
      <c r="Q85" t="e">
        <f ca="1"/>
        <v>#NAME?</v>
      </c>
    </row>
    <row r="86" spans="1:17">
      <c r="A86" t="e">
        <f ca="1"/>
        <v>#NAME?</v>
      </c>
      <c r="B86" t="e">
        <f ca="1"/>
        <v>#NAME?</v>
      </c>
      <c r="C86" t="e">
        <f ca="1"/>
        <v>#NAME?</v>
      </c>
      <c r="D86" t="e">
        <f ca="1"/>
        <v>#NAME?</v>
      </c>
      <c r="E86" t="e">
        <f ca="1"/>
        <v>#NAME?</v>
      </c>
      <c r="F86" t="e">
        <f ca="1"/>
        <v>#NAME?</v>
      </c>
      <c r="G86" t="e">
        <f ca="1"/>
        <v>#NAME?</v>
      </c>
      <c r="H86" t="e">
        <f ca="1"/>
        <v>#NAME?</v>
      </c>
      <c r="I86" t="e">
        <f ca="1"/>
        <v>#NAME?</v>
      </c>
      <c r="J86" t="e">
        <f ca="1"/>
        <v>#NAME?</v>
      </c>
      <c r="K86" t="e">
        <f ca="1"/>
        <v>#NAME?</v>
      </c>
      <c r="L86" t="e">
        <f ca="1"/>
        <v>#NAME?</v>
      </c>
      <c r="M86" t="e">
        <f ca="1"/>
        <v>#NAME?</v>
      </c>
      <c r="N86" t="e">
        <f ca="1"/>
        <v>#NAME?</v>
      </c>
      <c r="O86" t="e">
        <f ca="1"/>
        <v>#NAME?</v>
      </c>
      <c r="P86" t="e">
        <f ca="1"/>
        <v>#NAME?</v>
      </c>
      <c r="Q86" t="e">
        <f ca="1"/>
        <v>#NAME?</v>
      </c>
    </row>
    <row r="87" spans="1:17">
      <c r="A87" t="e">
        <f ca="1"/>
        <v>#NAME?</v>
      </c>
      <c r="B87" t="e">
        <f ca="1"/>
        <v>#NAME?</v>
      </c>
      <c r="C87" t="e">
        <f ca="1"/>
        <v>#NAME?</v>
      </c>
      <c r="D87" t="e">
        <f ca="1"/>
        <v>#NAME?</v>
      </c>
      <c r="E87" t="e">
        <f ca="1"/>
        <v>#NAME?</v>
      </c>
      <c r="F87" t="e">
        <f ca="1"/>
        <v>#NAME?</v>
      </c>
      <c r="G87" t="e">
        <f ca="1"/>
        <v>#NAME?</v>
      </c>
      <c r="H87" t="e">
        <f ca="1"/>
        <v>#NAME?</v>
      </c>
      <c r="I87" t="e">
        <f ca="1"/>
        <v>#NAME?</v>
      </c>
      <c r="J87" t="e">
        <f ca="1"/>
        <v>#NAME?</v>
      </c>
      <c r="K87" t="e">
        <f ca="1"/>
        <v>#NAME?</v>
      </c>
      <c r="L87" t="e">
        <f ca="1"/>
        <v>#NAME?</v>
      </c>
      <c r="M87" t="e">
        <f ca="1"/>
        <v>#NAME?</v>
      </c>
      <c r="N87" t="e">
        <f ca="1"/>
        <v>#NAME?</v>
      </c>
      <c r="O87" t="e">
        <f ca="1"/>
        <v>#NAME?</v>
      </c>
      <c r="P87" t="e">
        <f ca="1"/>
        <v>#NAME?</v>
      </c>
      <c r="Q87" t="e">
        <f ca="1"/>
        <v>#NAME?</v>
      </c>
    </row>
    <row r="88" spans="1:17">
      <c r="A88" t="e">
        <f ca="1"/>
        <v>#NAME?</v>
      </c>
      <c r="B88" t="e">
        <f ca="1"/>
        <v>#NAME?</v>
      </c>
      <c r="C88" t="e">
        <f ca="1"/>
        <v>#NAME?</v>
      </c>
      <c r="D88" t="e">
        <f ca="1"/>
        <v>#NAME?</v>
      </c>
      <c r="E88" t="e">
        <f ca="1"/>
        <v>#NAME?</v>
      </c>
      <c r="F88" t="e">
        <f ca="1"/>
        <v>#NAME?</v>
      </c>
      <c r="G88" t="e">
        <f ca="1"/>
        <v>#NAME?</v>
      </c>
      <c r="H88" t="e">
        <f ca="1"/>
        <v>#NAME?</v>
      </c>
      <c r="I88" t="e">
        <f ca="1"/>
        <v>#NAME?</v>
      </c>
      <c r="J88" t="e">
        <f ca="1"/>
        <v>#NAME?</v>
      </c>
      <c r="K88" t="e">
        <f ca="1"/>
        <v>#NAME?</v>
      </c>
      <c r="L88" t="e">
        <f ca="1"/>
        <v>#NAME?</v>
      </c>
      <c r="M88" t="e">
        <f ca="1"/>
        <v>#NAME?</v>
      </c>
      <c r="N88" t="e">
        <f ca="1"/>
        <v>#NAME?</v>
      </c>
      <c r="O88" t="e">
        <f ca="1"/>
        <v>#NAME?</v>
      </c>
      <c r="P88" t="e">
        <f ca="1"/>
        <v>#NAME?</v>
      </c>
      <c r="Q88" t="e">
        <f ca="1"/>
        <v>#NAME?</v>
      </c>
    </row>
    <row r="89" spans="1:17">
      <c r="A89" t="e">
        <f ca="1"/>
        <v>#NAME?</v>
      </c>
      <c r="B89" t="e">
        <f ca="1"/>
        <v>#NAME?</v>
      </c>
      <c r="C89" t="e">
        <f ca="1"/>
        <v>#NAME?</v>
      </c>
      <c r="D89" t="e">
        <f ca="1"/>
        <v>#NAME?</v>
      </c>
      <c r="E89" t="e">
        <f ca="1"/>
        <v>#NAME?</v>
      </c>
      <c r="F89" t="e">
        <f ca="1"/>
        <v>#NAME?</v>
      </c>
      <c r="G89" t="e">
        <f ca="1"/>
        <v>#NAME?</v>
      </c>
      <c r="H89" t="e">
        <f ca="1"/>
        <v>#NAME?</v>
      </c>
      <c r="I89" t="e">
        <f ca="1"/>
        <v>#NAME?</v>
      </c>
      <c r="J89" t="e">
        <f ca="1"/>
        <v>#NAME?</v>
      </c>
      <c r="K89" t="e">
        <f ca="1"/>
        <v>#NAME?</v>
      </c>
      <c r="L89" t="e">
        <f ca="1"/>
        <v>#NAME?</v>
      </c>
      <c r="M89" t="e">
        <f ca="1"/>
        <v>#NAME?</v>
      </c>
      <c r="N89" t="e">
        <f ca="1"/>
        <v>#NAME?</v>
      </c>
      <c r="O89" t="e">
        <f ca="1"/>
        <v>#NAME?</v>
      </c>
      <c r="P89" t="e">
        <f ca="1"/>
        <v>#NAME?</v>
      </c>
      <c r="Q89" t="e">
        <f ca="1"/>
        <v>#NAME?</v>
      </c>
    </row>
    <row r="90" spans="1:17">
      <c r="A90" t="e">
        <f ca="1"/>
        <v>#NAME?</v>
      </c>
      <c r="B90" t="e">
        <f ca="1"/>
        <v>#NAME?</v>
      </c>
      <c r="C90" t="e">
        <f ca="1"/>
        <v>#NAME?</v>
      </c>
      <c r="D90" t="e">
        <f ca="1"/>
        <v>#NAME?</v>
      </c>
      <c r="E90" t="e">
        <f ca="1"/>
        <v>#NAME?</v>
      </c>
      <c r="F90" t="e">
        <f ca="1"/>
        <v>#NAME?</v>
      </c>
      <c r="G90" t="e">
        <f ca="1"/>
        <v>#NAME?</v>
      </c>
      <c r="H90" t="e">
        <f ca="1"/>
        <v>#NAME?</v>
      </c>
      <c r="I90" t="e">
        <f ca="1"/>
        <v>#NAME?</v>
      </c>
      <c r="J90" t="e">
        <f ca="1"/>
        <v>#NAME?</v>
      </c>
      <c r="K90" t="e">
        <f ca="1"/>
        <v>#NAME?</v>
      </c>
      <c r="L90" t="e">
        <f ca="1"/>
        <v>#NAME?</v>
      </c>
      <c r="M90" t="e">
        <f ca="1"/>
        <v>#NAME?</v>
      </c>
      <c r="N90" t="e">
        <f ca="1"/>
        <v>#NAME?</v>
      </c>
      <c r="O90" t="e">
        <f ca="1"/>
        <v>#NAME?</v>
      </c>
      <c r="P90" t="e">
        <f ca="1"/>
        <v>#NAME?</v>
      </c>
      <c r="Q90" t="e">
        <f ca="1"/>
        <v>#NAME?</v>
      </c>
    </row>
    <row r="91" spans="1:17">
      <c r="A91" t="e">
        <f ca="1"/>
        <v>#NAME?</v>
      </c>
      <c r="B91" t="e">
        <f ca="1"/>
        <v>#NAME?</v>
      </c>
      <c r="C91" t="e">
        <f ca="1"/>
        <v>#NAME?</v>
      </c>
      <c r="D91" t="e">
        <f ca="1"/>
        <v>#NAME?</v>
      </c>
      <c r="E91" t="e">
        <f ca="1"/>
        <v>#NAME?</v>
      </c>
      <c r="F91" t="e">
        <f ca="1"/>
        <v>#NAME?</v>
      </c>
      <c r="G91" t="e">
        <f ca="1"/>
        <v>#NAME?</v>
      </c>
      <c r="H91" t="e">
        <f ca="1"/>
        <v>#NAME?</v>
      </c>
      <c r="I91" t="e">
        <f ca="1"/>
        <v>#NAME?</v>
      </c>
      <c r="J91" t="e">
        <f ca="1"/>
        <v>#NAME?</v>
      </c>
      <c r="K91" t="e">
        <f ca="1"/>
        <v>#NAME?</v>
      </c>
      <c r="L91" t="e">
        <f ca="1"/>
        <v>#NAME?</v>
      </c>
      <c r="M91" t="e">
        <f ca="1"/>
        <v>#NAME?</v>
      </c>
      <c r="N91" t="e">
        <f ca="1"/>
        <v>#NAME?</v>
      </c>
      <c r="O91" t="e">
        <f ca="1"/>
        <v>#NAME?</v>
      </c>
      <c r="P91" t="e">
        <f ca="1"/>
        <v>#NAME?</v>
      </c>
      <c r="Q91" t="e">
        <f ca="1"/>
        <v>#NAME?</v>
      </c>
    </row>
    <row r="92" spans="1:17">
      <c r="A92" t="e">
        <f ca="1"/>
        <v>#NAME?</v>
      </c>
      <c r="B92" t="e">
        <f ca="1"/>
        <v>#NAME?</v>
      </c>
      <c r="C92" t="e">
        <f ca="1"/>
        <v>#NAME?</v>
      </c>
      <c r="D92" t="e">
        <f ca="1"/>
        <v>#NAME?</v>
      </c>
      <c r="E92" t="e">
        <f ca="1"/>
        <v>#NAME?</v>
      </c>
      <c r="F92" t="e">
        <f ca="1"/>
        <v>#NAME?</v>
      </c>
      <c r="G92" t="e">
        <f ca="1"/>
        <v>#NAME?</v>
      </c>
      <c r="H92" t="e">
        <f ca="1"/>
        <v>#NAME?</v>
      </c>
      <c r="I92" t="e">
        <f ca="1"/>
        <v>#NAME?</v>
      </c>
      <c r="J92" t="e">
        <f ca="1"/>
        <v>#NAME?</v>
      </c>
      <c r="K92" t="e">
        <f ca="1"/>
        <v>#NAME?</v>
      </c>
      <c r="L92" t="e">
        <f ca="1"/>
        <v>#NAME?</v>
      </c>
      <c r="M92" t="e">
        <f ca="1"/>
        <v>#NAME?</v>
      </c>
      <c r="N92" t="e">
        <f ca="1"/>
        <v>#NAME?</v>
      </c>
      <c r="O92" t="e">
        <f ca="1"/>
        <v>#NAME?</v>
      </c>
      <c r="P92" t="e">
        <f ca="1"/>
        <v>#NAME?</v>
      </c>
      <c r="Q92" t="e">
        <f ca="1"/>
        <v>#NAME?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Tankers</vt:lpstr>
      <vt:lpstr>Receivers</vt:lpstr>
      <vt:lpstr>Specifications</vt:lpstr>
      <vt:lpstr>Australia</vt:lpstr>
      <vt:lpstr>Canada</vt:lpstr>
      <vt:lpstr>France</vt:lpstr>
      <vt:lpstr>Germany</vt:lpstr>
      <vt:lpstr>Italy</vt:lpstr>
      <vt:lpstr>Japan</vt:lpstr>
      <vt:lpstr>Malaysia</vt:lpstr>
      <vt:lpstr>MMF</vt:lpstr>
      <vt:lpstr>MSM</vt:lpstr>
      <vt:lpstr>NATO</vt:lpstr>
      <vt:lpstr>Omega</vt:lpstr>
      <vt:lpstr>Singapore</vt:lpstr>
      <vt:lpstr>South-Korea</vt:lpstr>
      <vt:lpstr>Spain</vt:lpstr>
      <vt:lpstr>Sweden</vt:lpstr>
      <vt:lpstr>Turkey</vt:lpstr>
      <vt:lpstr>UK</vt:lpstr>
      <vt:lpstr>USA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Westerhout</dc:creator>
  <cp:lastModifiedBy>Mike van Mierlo</cp:lastModifiedBy>
  <dcterms:created xsi:type="dcterms:W3CDTF">2025-10-29T11:31:57Z</dcterms:created>
  <dcterms:modified xsi:type="dcterms:W3CDTF">2026-02-11T12:52:31Z</dcterms:modified>
</cp:coreProperties>
</file>