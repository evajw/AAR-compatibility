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T:\"/>
    </mc:Choice>
  </mc:AlternateContent>
  <bookViews>
    <workbookView xWindow="-105" yWindow="-105" windowWidth="23250" windowHeight="12450" activeTab="2"/>
  </bookViews>
  <sheets>
    <sheet name="Tankers" sheetId="1" r:id="rId1"/>
    <sheet name="Receivers" sheetId="2" r:id="rId2"/>
    <sheet name="Specifications" sheetId="3" r:id="rId3"/>
  </sheets>
  <definedNames>
    <definedName name="_xlnm._FilterDatabase" localSheetId="2" hidden="1">Specifications!$B$1:$B$227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61" i="3" l="1"/>
  <c r="Q160" i="3"/>
  <c r="Q159" i="3"/>
  <c r="Q158" i="3"/>
  <c r="Q78" i="3" l="1"/>
  <c r="Q77" i="3"/>
  <c r="Q76" i="3"/>
  <c r="Q75" i="3"/>
  <c r="Q74" i="3"/>
  <c r="Q73" i="3"/>
  <c r="Q72" i="3"/>
  <c r="Q71" i="3"/>
  <c r="Q70" i="3"/>
  <c r="Q69" i="3"/>
  <c r="Q68" i="3"/>
  <c r="Q67" i="3"/>
  <c r="Q66" i="3"/>
  <c r="Q65" i="3"/>
  <c r="Q64" i="3"/>
  <c r="Q63" i="3"/>
  <c r="Q62" i="3"/>
  <c r="Q61" i="3"/>
  <c r="Q60" i="3"/>
  <c r="Q59" i="3"/>
  <c r="Q58" i="3"/>
  <c r="Q56" i="3"/>
  <c r="Q57" i="3"/>
  <c r="Q51" i="3"/>
  <c r="Q52" i="3"/>
  <c r="Q53" i="3"/>
  <c r="Q54" i="3"/>
  <c r="Q55" i="3"/>
  <c r="Q50" i="3"/>
  <c r="Q49" i="3"/>
  <c r="Q48" i="3"/>
  <c r="Q47" i="3"/>
  <c r="Q46" i="3"/>
  <c r="Q45" i="3"/>
  <c r="Q40" i="3"/>
  <c r="Q41" i="3"/>
  <c r="Q43" i="3"/>
  <c r="Q42" i="3"/>
  <c r="Q5" i="3"/>
  <c r="Q4" i="3"/>
  <c r="Q37" i="3"/>
  <c r="Q36" i="3"/>
  <c r="Q35" i="3"/>
  <c r="Q34" i="3"/>
  <c r="Q33" i="3"/>
  <c r="Q32" i="3"/>
  <c r="Q31" i="3"/>
  <c r="Q39" i="3"/>
  <c r="Q30" i="3"/>
  <c r="Q15" i="3"/>
  <c r="Q16" i="3"/>
  <c r="Q17" i="3"/>
  <c r="Q18" i="3"/>
  <c r="Q19" i="3"/>
  <c r="Q20" i="3"/>
  <c r="Q21" i="3"/>
  <c r="Q22" i="3"/>
  <c r="Q23" i="3"/>
  <c r="Q24" i="3"/>
  <c r="Q25" i="3"/>
  <c r="Q26" i="3"/>
  <c r="Q27" i="3"/>
  <c r="Q28" i="3"/>
  <c r="Q29" i="3"/>
  <c r="Q14" i="3"/>
  <c r="Q13" i="3"/>
  <c r="Q12" i="3"/>
  <c r="Q11" i="3"/>
  <c r="Q38" i="3"/>
  <c r="Q8" i="3"/>
  <c r="Q7" i="3"/>
  <c r="Q6" i="3"/>
  <c r="Q10" i="3"/>
  <c r="Q9" i="3"/>
  <c r="Q3" i="3"/>
  <c r="Q2" i="3"/>
  <c r="A2" i="2" a="1"/>
  <c r="A2" i="1" a="1"/>
  <c r="A2" i="1" l="1"/>
  <c r="A15" i="1"/>
  <c r="C13" i="1"/>
  <c r="B12" i="1"/>
  <c r="A11" i="1"/>
  <c r="C9" i="1"/>
  <c r="B8" i="1"/>
  <c r="A7" i="1"/>
  <c r="C5" i="1"/>
  <c r="B4" i="1"/>
  <c r="A3" i="1"/>
  <c r="B15" i="1"/>
  <c r="B13" i="1"/>
  <c r="C11" i="1"/>
  <c r="A10" i="1"/>
  <c r="A8" i="1"/>
  <c r="B6" i="1"/>
  <c r="C4" i="1"/>
  <c r="C2" i="1"/>
  <c r="C12" i="1"/>
  <c r="A9" i="1"/>
  <c r="B5" i="1"/>
  <c r="C14" i="1"/>
  <c r="A13" i="1"/>
  <c r="B11" i="1"/>
  <c r="B9" i="1"/>
  <c r="C7" i="1"/>
  <c r="A6" i="1"/>
  <c r="A4" i="1"/>
  <c r="B2" i="1"/>
  <c r="B14" i="1"/>
  <c r="C10" i="1"/>
  <c r="B7" i="1"/>
  <c r="C3" i="1"/>
  <c r="C15" i="1"/>
  <c r="C8" i="1"/>
  <c r="A14" i="1"/>
  <c r="C6" i="1"/>
  <c r="A12" i="1"/>
  <c r="A5" i="1"/>
  <c r="B3" i="1"/>
  <c r="B10" i="1"/>
  <c r="A2" i="2"/>
  <c r="C78" i="2"/>
  <c r="B77" i="2"/>
  <c r="A76" i="2"/>
  <c r="C74" i="2"/>
  <c r="B73" i="2"/>
  <c r="A72" i="2"/>
  <c r="C70" i="2"/>
  <c r="B69" i="2"/>
  <c r="A68" i="2"/>
  <c r="C66" i="2"/>
  <c r="B65" i="2"/>
  <c r="A64" i="2"/>
  <c r="C62" i="2"/>
  <c r="B61" i="2"/>
  <c r="A60" i="2"/>
  <c r="C58" i="2"/>
  <c r="B57" i="2"/>
  <c r="A56" i="2"/>
  <c r="C54" i="2"/>
  <c r="B53" i="2"/>
  <c r="A52" i="2"/>
  <c r="C50" i="2"/>
  <c r="B49" i="2"/>
  <c r="A48" i="2"/>
  <c r="C46" i="2"/>
  <c r="B45" i="2"/>
  <c r="A44" i="2"/>
  <c r="C42" i="2"/>
  <c r="B41" i="2"/>
  <c r="A40" i="2"/>
  <c r="C38" i="2"/>
  <c r="B37" i="2"/>
  <c r="A36" i="2"/>
  <c r="C34" i="2"/>
  <c r="B33" i="2"/>
  <c r="A32" i="2"/>
  <c r="C30" i="2"/>
  <c r="B29" i="2"/>
  <c r="A28" i="2"/>
  <c r="C26" i="2"/>
  <c r="B25" i="2"/>
  <c r="A24" i="2"/>
  <c r="C22" i="2"/>
  <c r="B21" i="2"/>
  <c r="A20" i="2"/>
  <c r="C18" i="2"/>
  <c r="B17" i="2"/>
  <c r="A16" i="2"/>
  <c r="C14" i="2"/>
  <c r="B13" i="2"/>
  <c r="A12" i="2"/>
  <c r="C10" i="2"/>
  <c r="B9" i="2"/>
  <c r="A8" i="2"/>
  <c r="C6" i="2"/>
  <c r="B5" i="2"/>
  <c r="A4" i="2"/>
  <c r="C2" i="2"/>
  <c r="C79" i="2"/>
  <c r="B78" i="2"/>
  <c r="A77" i="2"/>
  <c r="C75" i="2"/>
  <c r="B74" i="2"/>
  <c r="A73" i="2"/>
  <c r="C71" i="2"/>
  <c r="B70" i="2"/>
  <c r="A69" i="2"/>
  <c r="C67" i="2"/>
  <c r="B66" i="2"/>
  <c r="A65" i="2"/>
  <c r="C63" i="2"/>
  <c r="B62" i="2"/>
  <c r="A61" i="2"/>
  <c r="C59" i="2"/>
  <c r="B58" i="2"/>
  <c r="C77" i="2"/>
  <c r="A75" i="2"/>
  <c r="B72" i="2"/>
  <c r="C69" i="2"/>
  <c r="A67" i="2"/>
  <c r="B64" i="2"/>
  <c r="C61" i="2"/>
  <c r="A59" i="2"/>
  <c r="C56" i="2"/>
  <c r="A55" i="2"/>
  <c r="A53" i="2"/>
  <c r="B51" i="2"/>
  <c r="C49" i="2"/>
  <c r="C47" i="2"/>
  <c r="A46" i="2"/>
  <c r="B44" i="2"/>
  <c r="B42" i="2"/>
  <c r="C40" i="2"/>
  <c r="A39" i="2"/>
  <c r="A37" i="2"/>
  <c r="B35" i="2"/>
  <c r="C33" i="2"/>
  <c r="C31" i="2"/>
  <c r="A30" i="2"/>
  <c r="B28" i="2"/>
  <c r="B26" i="2"/>
  <c r="C24" i="2"/>
  <c r="A23" i="2"/>
  <c r="A21" i="2"/>
  <c r="B19" i="2"/>
  <c r="C17" i="2"/>
  <c r="C15" i="2"/>
  <c r="A14" i="2"/>
  <c r="B12" i="2"/>
  <c r="B10" i="2"/>
  <c r="C8" i="2"/>
  <c r="A7" i="2"/>
  <c r="A5" i="2"/>
  <c r="B3" i="2"/>
  <c r="B68" i="2"/>
  <c r="A63" i="2"/>
  <c r="B60" i="2"/>
  <c r="C55" i="2"/>
  <c r="B52" i="2"/>
  <c r="A47" i="2"/>
  <c r="B43" i="2"/>
  <c r="C39" i="2"/>
  <c r="A38" i="2"/>
  <c r="B34" i="2"/>
  <c r="B27" i="2"/>
  <c r="C23" i="2"/>
  <c r="B20" i="2"/>
  <c r="C16" i="2"/>
  <c r="A13" i="2"/>
  <c r="C9" i="2"/>
  <c r="A6" i="2"/>
  <c r="B2" i="2"/>
  <c r="B75" i="2"/>
  <c r="C72" i="2"/>
  <c r="B67" i="2"/>
  <c r="A62" i="2"/>
  <c r="A57" i="2"/>
  <c r="B48" i="2"/>
  <c r="C44" i="2"/>
  <c r="A41" i="2"/>
  <c r="C37" i="2"/>
  <c r="B79" i="2"/>
  <c r="C76" i="2"/>
  <c r="A74" i="2"/>
  <c r="B71" i="2"/>
  <c r="C68" i="2"/>
  <c r="A66" i="2"/>
  <c r="B63" i="2"/>
  <c r="C60" i="2"/>
  <c r="A58" i="2"/>
  <c r="B56" i="2"/>
  <c r="B54" i="2"/>
  <c r="C52" i="2"/>
  <c r="A51" i="2"/>
  <c r="A49" i="2"/>
  <c r="B47" i="2"/>
  <c r="C45" i="2"/>
  <c r="C43" i="2"/>
  <c r="A42" i="2"/>
  <c r="B40" i="2"/>
  <c r="B38" i="2"/>
  <c r="C36" i="2"/>
  <c r="A35" i="2"/>
  <c r="A33" i="2"/>
  <c r="B31" i="2"/>
  <c r="C29" i="2"/>
  <c r="C27" i="2"/>
  <c r="A26" i="2"/>
  <c r="B24" i="2"/>
  <c r="B22" i="2"/>
  <c r="C20" i="2"/>
  <c r="A19" i="2"/>
  <c r="A17" i="2"/>
  <c r="B15" i="2"/>
  <c r="C13" i="2"/>
  <c r="C11" i="2"/>
  <c r="A10" i="2"/>
  <c r="B8" i="2"/>
  <c r="B6" i="2"/>
  <c r="C4" i="2"/>
  <c r="A3" i="2"/>
  <c r="A79" i="2"/>
  <c r="B76" i="2"/>
  <c r="C73" i="2"/>
  <c r="A71" i="2"/>
  <c r="C65" i="2"/>
  <c r="C57" i="2"/>
  <c r="A54" i="2"/>
  <c r="B50" i="2"/>
  <c r="C48" i="2"/>
  <c r="A45" i="2"/>
  <c r="C41" i="2"/>
  <c r="B36" i="2"/>
  <c r="C32" i="2"/>
  <c r="A31" i="2"/>
  <c r="A29" i="2"/>
  <c r="C25" i="2"/>
  <c r="A22" i="2"/>
  <c r="B18" i="2"/>
  <c r="A15" i="2"/>
  <c r="B11" i="2"/>
  <c r="C7" i="2"/>
  <c r="B4" i="2"/>
  <c r="A78" i="2"/>
  <c r="A70" i="2"/>
  <c r="C64" i="2"/>
  <c r="B59" i="2"/>
  <c r="B55" i="2"/>
  <c r="C53" i="2"/>
  <c r="C51" i="2"/>
  <c r="A50" i="2"/>
  <c r="B46" i="2"/>
  <c r="A43" i="2"/>
  <c r="B39" i="2"/>
  <c r="B30" i="2"/>
  <c r="B23" i="2"/>
  <c r="B16" i="2"/>
  <c r="A9" i="2"/>
  <c r="C35" i="2"/>
  <c r="C28" i="2"/>
  <c r="C21" i="2"/>
  <c r="B14" i="2"/>
  <c r="A34" i="2"/>
  <c r="A27" i="2"/>
  <c r="C19" i="2"/>
  <c r="C12" i="2"/>
  <c r="C5" i="2"/>
  <c r="A25" i="2"/>
  <c r="A11" i="2"/>
  <c r="B7" i="2"/>
  <c r="B32" i="2"/>
  <c r="A18" i="2"/>
  <c r="C3" i="2"/>
</calcChain>
</file>

<file path=xl/comments1.xml><?xml version="1.0" encoding="utf-8"?>
<comments xmlns="http://schemas.openxmlformats.org/spreadsheetml/2006/main">
  <authors>
    <author>Eva Westerhout</author>
  </authors>
  <commentList>
    <comment ref="L1" authorId="0" shapeId="0">
      <text>
        <r>
          <rPr>
            <b/>
            <sz val="9"/>
            <color indexed="81"/>
            <rFont val="Tahoma"/>
            <charset val="1"/>
          </rPr>
          <t>Eva Westerhout:</t>
        </r>
        <r>
          <rPr>
            <sz val="9"/>
            <color indexed="81"/>
            <rFont val="Tahoma"/>
            <charset val="1"/>
          </rPr>
          <t xml:space="preserve">
FL
</t>
        </r>
      </text>
    </comment>
    <comment ref="M1" authorId="0" shapeId="0">
      <text>
        <r>
          <rPr>
            <b/>
            <sz val="9"/>
            <color indexed="81"/>
            <rFont val="Tahoma"/>
            <charset val="1"/>
          </rPr>
          <t>Eva Westerhout:</t>
        </r>
        <r>
          <rPr>
            <sz val="9"/>
            <color indexed="81"/>
            <rFont val="Tahoma"/>
            <charset val="1"/>
          </rPr>
          <t xml:space="preserve">
FL</t>
        </r>
      </text>
    </comment>
    <comment ref="N1" authorId="0" shapeId="0">
      <text>
        <r>
          <rPr>
            <b/>
            <sz val="9"/>
            <color indexed="81"/>
            <rFont val="Tahoma"/>
            <charset val="1"/>
          </rPr>
          <t>Eva Westerhout:</t>
        </r>
        <r>
          <rPr>
            <sz val="9"/>
            <color indexed="81"/>
            <rFont val="Tahoma"/>
            <charset val="1"/>
          </rPr>
          <t xml:space="preserve">
KCAS
</t>
        </r>
      </text>
    </comment>
    <comment ref="O1" authorId="0" shapeId="0">
      <text>
        <r>
          <rPr>
            <b/>
            <sz val="9"/>
            <color indexed="81"/>
            <rFont val="Tahoma"/>
            <charset val="1"/>
          </rPr>
          <t>Eva Westerhout:</t>
        </r>
        <r>
          <rPr>
            <sz val="9"/>
            <color indexed="81"/>
            <rFont val="Tahoma"/>
            <charset val="1"/>
          </rPr>
          <t xml:space="preserve">
KCAS
</t>
        </r>
      </text>
    </comment>
    <comment ref="Q1" authorId="0" shapeId="0">
      <text>
        <r>
          <rPr>
            <b/>
            <sz val="9"/>
            <color indexed="81"/>
            <rFont val="Tahoma"/>
            <charset val="1"/>
          </rPr>
          <t>Eva Westerhout:</t>
        </r>
        <r>
          <rPr>
            <sz val="9"/>
            <color indexed="81"/>
            <rFont val="Tahoma"/>
            <charset val="1"/>
          </rPr>
          <t xml:space="preserve">
lb/min
</t>
        </r>
      </text>
    </comment>
    <comment ref="N105" authorId="0" shapeId="0">
      <text>
        <r>
          <rPr>
            <b/>
            <sz val="9"/>
            <color indexed="81"/>
            <rFont val="Tahoma"/>
            <family val="2"/>
          </rPr>
          <t>Eva Westerhout:</t>
        </r>
        <r>
          <rPr>
            <sz val="9"/>
            <color indexed="81"/>
            <rFont val="Tahoma"/>
            <family val="2"/>
          </rPr>
          <t xml:space="preserve">
KIAS
</t>
        </r>
      </text>
    </comment>
    <comment ref="N117" authorId="0" shapeId="0">
      <text>
        <r>
          <rPr>
            <b/>
            <sz val="9"/>
            <color indexed="81"/>
            <rFont val="Tahoma"/>
            <family val="2"/>
          </rPr>
          <t>Eva Westerhout:</t>
        </r>
        <r>
          <rPr>
            <sz val="9"/>
            <color indexed="81"/>
            <rFont val="Tahoma"/>
            <family val="2"/>
          </rPr>
          <t xml:space="preserve">
KIAS
</t>
        </r>
      </text>
    </comment>
    <comment ref="N122" authorId="0" shapeId="0">
      <text>
        <r>
          <rPr>
            <b/>
            <sz val="9"/>
            <color indexed="81"/>
            <rFont val="Tahoma"/>
            <family val="2"/>
          </rPr>
          <t>Eva Westerhout:</t>
        </r>
        <r>
          <rPr>
            <sz val="9"/>
            <color indexed="81"/>
            <rFont val="Tahoma"/>
            <family val="2"/>
          </rPr>
          <t xml:space="preserve">
KIAS
</t>
        </r>
      </text>
    </comment>
    <comment ref="N124" authorId="0" shapeId="0">
      <text>
        <r>
          <rPr>
            <b/>
            <sz val="9"/>
            <color indexed="81"/>
            <rFont val="Tahoma"/>
            <family val="2"/>
          </rPr>
          <t>Eva Westerhout:</t>
        </r>
        <r>
          <rPr>
            <sz val="9"/>
            <color indexed="81"/>
            <rFont val="Tahoma"/>
            <family val="2"/>
          </rPr>
          <t xml:space="preserve">
KIAS
</t>
        </r>
      </text>
    </comment>
    <comment ref="N131" authorId="0" shapeId="0">
      <text>
        <r>
          <rPr>
            <b/>
            <sz val="9"/>
            <color indexed="81"/>
            <rFont val="Tahoma"/>
            <family val="2"/>
          </rPr>
          <t>Eva Westerhout:</t>
        </r>
        <r>
          <rPr>
            <sz val="9"/>
            <color indexed="81"/>
            <rFont val="Tahoma"/>
            <family val="2"/>
          </rPr>
          <t xml:space="preserve">
KIAS
</t>
        </r>
      </text>
    </comment>
    <comment ref="N133" authorId="0" shapeId="0">
      <text>
        <r>
          <rPr>
            <b/>
            <sz val="9"/>
            <color indexed="81"/>
            <rFont val="Tahoma"/>
            <family val="2"/>
          </rPr>
          <t>Eva Westerhout:</t>
        </r>
        <r>
          <rPr>
            <sz val="9"/>
            <color indexed="81"/>
            <rFont val="Tahoma"/>
            <family val="2"/>
          </rPr>
          <t xml:space="preserve">
KIAS
</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<sst xmlns="http://schemas.openxmlformats.org/spreadsheetml/2006/main" count="2237" uniqueCount="142">
  <si>
    <t>C-17</t>
  </si>
  <si>
    <t>USA</t>
  </si>
  <si>
    <t>Australia</t>
  </si>
  <si>
    <t>type</t>
  </si>
  <si>
    <t>model</t>
  </si>
  <si>
    <t>nation</t>
  </si>
  <si>
    <t>fuel_flow_rate</t>
  </si>
  <si>
    <t>max_alt</t>
  </si>
  <si>
    <t>min_as</t>
  </si>
  <si>
    <t>notes</t>
  </si>
  <si>
    <t>A330 MRTT</t>
  </si>
  <si>
    <t>KC-30A</t>
  </si>
  <si>
    <t>tanker_model</t>
  </si>
  <si>
    <t>receiver_model</t>
  </si>
  <si>
    <t>receiver_nation</t>
  </si>
  <si>
    <t>min_alt</t>
  </si>
  <si>
    <t>tanker_nation</t>
  </si>
  <si>
    <t>c_tanker</t>
  </si>
  <si>
    <t>c_receiver</t>
  </si>
  <si>
    <t>E-7</t>
  </si>
  <si>
    <t>EA-18</t>
  </si>
  <si>
    <t>F-35</t>
  </si>
  <si>
    <t>B</t>
  </si>
  <si>
    <t>D</t>
  </si>
  <si>
    <t>tanker_type</t>
  </si>
  <si>
    <t>receiver_type</t>
  </si>
  <si>
    <t>A-10</t>
  </si>
  <si>
    <t>B-1</t>
  </si>
  <si>
    <t>B-2</t>
  </si>
  <si>
    <t>B-52</t>
  </si>
  <si>
    <t>F-16</t>
  </si>
  <si>
    <t>F-22</t>
  </si>
  <si>
    <t>F/A-18</t>
  </si>
  <si>
    <t>P-8</t>
  </si>
  <si>
    <t>NATO</t>
  </si>
  <si>
    <t>itv</t>
  </si>
  <si>
    <t>F-15</t>
  </si>
  <si>
    <t>Japan</t>
  </si>
  <si>
    <t>For FL150-FL300 265 - 300 KCAS</t>
  </si>
  <si>
    <t>A</t>
  </si>
  <si>
    <t>G</t>
  </si>
  <si>
    <t>C</t>
  </si>
  <si>
    <t>J</t>
  </si>
  <si>
    <t>DJ</t>
  </si>
  <si>
    <t>SG</t>
  </si>
  <si>
    <t>Belgium</t>
  </si>
  <si>
    <t xml:space="preserve">K </t>
  </si>
  <si>
    <t>Denmark</t>
  </si>
  <si>
    <t>Indonesia</t>
  </si>
  <si>
    <t xml:space="preserve">D </t>
  </si>
  <si>
    <t>Netherlands</t>
  </si>
  <si>
    <t>Portugal</t>
  </si>
  <si>
    <t>South Korea</t>
  </si>
  <si>
    <t>D+</t>
  </si>
  <si>
    <t>Singapore</t>
  </si>
  <si>
    <t>Thailand</t>
  </si>
  <si>
    <t>F-2</t>
  </si>
  <si>
    <t>Norway</t>
  </si>
  <si>
    <t>A-330 MRTT</t>
  </si>
  <si>
    <t>boom_pod</t>
  </si>
  <si>
    <t>P</t>
  </si>
  <si>
    <t>H</t>
  </si>
  <si>
    <t>KC-10</t>
  </si>
  <si>
    <t>Omega</t>
  </si>
  <si>
    <t>KDC-10</t>
  </si>
  <si>
    <t>USMC</t>
  </si>
  <si>
    <t>Canada</t>
  </si>
  <si>
    <t>Malaysia</t>
  </si>
  <si>
    <t>Finland</t>
  </si>
  <si>
    <t>Spain</t>
  </si>
  <si>
    <t>E</t>
  </si>
  <si>
    <t>F</t>
  </si>
  <si>
    <t>CF/A-18</t>
  </si>
  <si>
    <t>EF-18</t>
  </si>
  <si>
    <t>EF-2000</t>
  </si>
  <si>
    <t>Typhoon</t>
  </si>
  <si>
    <t>Germany</t>
  </si>
  <si>
    <t>F-2000A</t>
  </si>
  <si>
    <t>United Kingdom</t>
  </si>
  <si>
    <t>Sweden</t>
  </si>
  <si>
    <t>Gripen</t>
  </si>
  <si>
    <t>France</t>
  </si>
  <si>
    <t>Indian</t>
  </si>
  <si>
    <t>Rafale</t>
  </si>
  <si>
    <t>M</t>
  </si>
  <si>
    <t>EH</t>
  </si>
  <si>
    <t>DH</t>
  </si>
  <si>
    <t>SU-30</t>
  </si>
  <si>
    <t>MKM</t>
  </si>
  <si>
    <t>MKI</t>
  </si>
  <si>
    <t>A400</t>
  </si>
  <si>
    <t>WDE (Wing Dispensing Equipment) Only</t>
  </si>
  <si>
    <t>MMF</t>
  </si>
  <si>
    <t>Phénix</t>
  </si>
  <si>
    <t>KC-330</t>
  </si>
  <si>
    <t>KC-30M</t>
  </si>
  <si>
    <t>MSM</t>
  </si>
  <si>
    <t>KC-135</t>
  </si>
  <si>
    <t>R</t>
  </si>
  <si>
    <t xml:space="preserve">KC-135 </t>
  </si>
  <si>
    <t>T</t>
  </si>
  <si>
    <t>KC-46</t>
  </si>
  <si>
    <t>C-135</t>
  </si>
  <si>
    <t>FR</t>
  </si>
  <si>
    <t>RG</t>
  </si>
  <si>
    <t>CC-150</t>
  </si>
  <si>
    <t>Italy</t>
  </si>
  <si>
    <t>KC-130</t>
  </si>
  <si>
    <t>Voyager</t>
  </si>
  <si>
    <t xml:space="preserve">Omega </t>
  </si>
  <si>
    <t>KC-707</t>
  </si>
  <si>
    <t>KC-767</t>
  </si>
  <si>
    <t>given in 1500 ft</t>
  </si>
  <si>
    <t>FL300-FL350 -&gt; Airspeed: 250 KIAS</t>
  </si>
  <si>
    <t>vSRD_Tnkr</t>
  </si>
  <si>
    <t>vSRD_RCVR</t>
  </si>
  <si>
    <t>max_as_KCAS</t>
  </si>
  <si>
    <t>Max_as_M</t>
  </si>
  <si>
    <t>July 2025</t>
  </si>
  <si>
    <t>1500 ft AGL</t>
  </si>
  <si>
    <t>mininimum altitude in feet above ground level</t>
  </si>
  <si>
    <t>mininimum altitude in feet  above ground level</t>
  </si>
  <si>
    <t>December 2025</t>
  </si>
  <si>
    <t>N/A</t>
  </si>
  <si>
    <t>Bahrain</t>
  </si>
  <si>
    <t>Chile</t>
  </si>
  <si>
    <t>Egypt</t>
  </si>
  <si>
    <t>Greece</t>
  </si>
  <si>
    <t>Iraq</t>
  </si>
  <si>
    <t>Israel</t>
  </si>
  <si>
    <t>Jordan</t>
  </si>
  <si>
    <t>Korea</t>
  </si>
  <si>
    <t>Morocco</t>
  </si>
  <si>
    <t>Oman</t>
  </si>
  <si>
    <t>Poland</t>
  </si>
  <si>
    <t>Romania</t>
  </si>
  <si>
    <t>Republic of China</t>
  </si>
  <si>
    <t>Turkiye</t>
  </si>
  <si>
    <t>UAE</t>
  </si>
  <si>
    <t>Pakistan</t>
  </si>
  <si>
    <t>No Conformal Fuel Tanks, No Raised Dorsal Spine.</t>
  </si>
  <si>
    <t>The Netherlands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</si>
</sst>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1"/>
      <color theme="1"/>
      <name val="Aptos Narrow"/>
      <family val="2"/>
      <scheme val="minor"/>
    </font>
    <font>
      <b/>
      <sz val="11"/>
      <color theme="1"/>
      <name val="Aptos Narrow"/>
      <family val="2"/>
      <scheme val="minor"/>
    </font>
    <font>
      <b/>
      <sz val="14"/>
      <color theme="1"/>
      <name val="Aptos Narrow"/>
      <family val="2"/>
      <scheme val="minor"/>
    </font>
    <font>
      <sz val="14"/>
      <color theme="1"/>
      <name val="Aptos Narrow"/>
      <family val="2"/>
      <scheme val="minor"/>
    </font>
    <font>
      <sz val="8"/>
      <name val="Aptos Narrow"/>
      <family val="2"/>
      <scheme val="minor"/>
    </font>
    <font>
      <sz val="9"/>
      <color indexed="81"/>
      <name val="Tahoma"/>
      <charset val="1"/>
    </font>
    <font>
      <b/>
      <sz val="9"/>
      <color indexed="81"/>
      <name val="Tahoma"/>
      <charset val="1"/>
    </font>
    <font>
      <sz val="9"/>
      <color indexed="81"/>
      <name val="Tahoma"/>
      <family val="2"/>
    </font>
    <font>
      <b/>
      <sz val="9"/>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0" fillId="0" borderId="0" xfId="0" applyFill="1"/>
    <xf numFmtId="49" fontId="0" fillId="0" borderId="0" xfId="0" applyNumberFormat="1" applyFill="1"/>
    <xf numFmtId="49" fontId="2" fillId="0" borderId="0" xfId="0" applyNumberFormat="1" applyFont="1" applyFill="1"/>
  </cellXfs>
  <cellStyles count="1">
    <cellStyle name="Normal" xfId="0" builtinId="0"/>
  </cellStyles>
  <dxfs count="102">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rgb="FFFFC000"/>
        </patternFill>
      </fill>
    </dxf>
    <dxf>
      <fill>
        <patternFill>
          <bgColor theme="0" tint="-4.9989318521683403E-2"/>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0" tint="-4.9989318521683403E-2"/>
        </patternFill>
      </fill>
    </dxf>
    <dxf>
      <fill>
        <patternFill>
          <bgColor rgb="FFFFC000"/>
        </patternFill>
      </fill>
    </dxf>
    <dxf>
      <fill>
        <patternFill>
          <bgColor theme="5" tint="0.59996337778862885"/>
        </patternFill>
      </fill>
    </dxf>
    <dxf>
      <fill>
        <patternFill>
          <bgColor theme="0" tint="-4.9989318521683403E-2"/>
        </patternFill>
      </fill>
    </dxf>
    <dxf>
      <fill>
        <patternFill>
          <bgColor theme="5" tint="0.59996337778862885"/>
        </patternFill>
      </fill>
    </dxf>
    <dxf>
      <fill>
        <patternFill>
          <bgColor theme="5" tint="0.59996337778862885"/>
        </patternFill>
      </fill>
    </dxf>
    <dxf>
      <fill>
        <patternFill>
          <bgColor theme="0" tint="-4.9989318521683403E-2"/>
        </patternFill>
      </fill>
    </dxf>
    <dxf>
      <fill>
        <patternFill>
          <bgColor theme="5" tint="0.59996337778862885"/>
        </patternFill>
      </fill>
    </dxf>
    <dxf>
      <fill>
        <patternFill>
          <bgColor theme="5" tint="0.59996337778862885"/>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workbookViewId="0">
      <selection activeCell="H5" sqref="H5"/>
    </sheetView>
  </sheetViews>
  <sheetFormatPr defaultRowHeight="14.25"/>
  <cols>
    <col min="1" max="3" width="21.875" customWidth="1"/>
  </cols>
  <sheetData>
    <row r="1" spans="1:3" ht="15">
      <c r="A1" s="1" t="s">
        <v>5</v>
      </c>
      <c r="B1" s="1" t="s">
        <v>3</v>
      </c>
      <c r="C1" s="1" t="s">
        <v>4</v>
      </c>
    </row>
    <row r="2" spans="1:3">
      <c r="A2" t="e" cm="1">
        <f t="array" aca="1" ref="A2:C15" ca="1">_xlfn.UNIQUE(_xlfn._xlws.FILTER(Specifications!A2:C97, (Specifications!A2:A97&lt;&gt;"") * (Specifications!B2:B97&lt;&gt;"") * (Specifications!C2:C97&lt;&gt;"")))</f>
        <v>#NAME?</v>
      </c>
      <c r="B2" t="e">
        <f ca="1"/>
        <v>#NAME?</v>
      </c>
      <c r="C2" t="e">
        <f ca="1"/>
        <v>#NAME?</v>
      </c>
    </row>
    <row r="3" spans="1:3">
      <c r="A3" t="e">
        <f ca="1"/>
        <v>#NAME?</v>
      </c>
      <c r="B3" t="e">
        <f ca="1"/>
        <v>#NAME?</v>
      </c>
      <c r="C3" t="e">
        <f ca="1"/>
        <v>#NAME?</v>
      </c>
    </row>
    <row r="4" spans="1:3">
      <c r="A4" t="e">
        <f ca="1"/>
        <v>#NAME?</v>
      </c>
      <c r="B4" t="e">
        <f ca="1"/>
        <v>#NAME?</v>
      </c>
      <c r="C4" t="e">
        <f ca="1"/>
        <v>#NAME?</v>
      </c>
    </row>
    <row r="5" spans="1:3">
      <c r="A5" t="e">
        <f ca="1"/>
        <v>#NAME?</v>
      </c>
      <c r="B5" t="e">
        <f ca="1"/>
        <v>#NAME?</v>
      </c>
      <c r="C5" t="e">
        <f ca="1"/>
        <v>#NAME?</v>
      </c>
    </row>
    <row r="6" spans="1:3">
      <c r="A6" t="e">
        <f ca="1"/>
        <v>#NAME?</v>
      </c>
      <c r="B6" t="e">
        <f ca="1"/>
        <v>#NAME?</v>
      </c>
      <c r="C6" t="e">
        <f ca="1"/>
        <v>#NAME?</v>
      </c>
    </row>
    <row r="7" spans="1:3">
      <c r="A7" t="e">
        <f ca="1"/>
        <v>#NAME?</v>
      </c>
      <c r="B7" t="e">
        <f ca="1"/>
        <v>#NAME?</v>
      </c>
      <c r="C7" t="e">
        <f ca="1"/>
        <v>#NAME?</v>
      </c>
    </row>
    <row r="8" spans="1:3">
      <c r="A8" t="e">
        <f ca="1"/>
        <v>#NAME?</v>
      </c>
      <c r="B8" t="e">
        <f ca="1"/>
        <v>#NAME?</v>
      </c>
      <c r="C8" t="e">
        <f ca="1"/>
        <v>#NAME?</v>
      </c>
    </row>
    <row r="9" spans="1:3">
      <c r="A9" t="e">
        <f ca="1"/>
        <v>#NAME?</v>
      </c>
      <c r="B9" t="e">
        <f ca="1"/>
        <v>#NAME?</v>
      </c>
      <c r="C9" t="e">
        <f ca="1"/>
        <v>#NAME?</v>
      </c>
    </row>
    <row r="10" spans="1:3">
      <c r="A10" t="e">
        <f ca="1"/>
        <v>#NAME?</v>
      </c>
      <c r="B10" t="e">
        <f ca="1"/>
        <v>#NAME?</v>
      </c>
      <c r="C10" t="e">
        <f ca="1"/>
        <v>#NAME?</v>
      </c>
    </row>
    <row r="11" spans="1:3">
      <c r="A11" t="e">
        <f ca="1"/>
        <v>#NAME?</v>
      </c>
      <c r="B11" t="e">
        <f ca="1"/>
        <v>#NAME?</v>
      </c>
      <c r="C11" t="e">
        <f ca="1"/>
        <v>#NAME?</v>
      </c>
    </row>
    <row r="12" spans="1:3">
      <c r="A12" t="e">
        <f ca="1"/>
        <v>#NAME?</v>
      </c>
      <c r="B12" t="e">
        <f ca="1"/>
        <v>#NAME?</v>
      </c>
      <c r="C12" t="e">
        <f ca="1"/>
        <v>#NAME?</v>
      </c>
    </row>
    <row r="13" spans="1:3">
      <c r="A13" t="e">
        <f ca="1"/>
        <v>#NAME?</v>
      </c>
      <c r="B13" t="e">
        <f ca="1"/>
        <v>#NAME?</v>
      </c>
      <c r="C13" t="e">
        <f ca="1"/>
        <v>#NAME?</v>
      </c>
    </row>
    <row r="14" spans="1:3">
      <c r="A14" t="e">
        <f ca="1"/>
        <v>#NAME?</v>
      </c>
      <c r="B14" t="e">
        <f ca="1"/>
        <v>#NAME?</v>
      </c>
      <c r="C14" t="e">
        <f ca="1"/>
        <v>#NAME?</v>
      </c>
    </row>
    <row r="15" spans="1:3">
      <c r="A15" t="e">
        <f ca="1"/>
        <v>#NAME?</v>
      </c>
      <c r="B15" t="e">
        <f ca="1"/>
        <v>#NAME?</v>
      </c>
      <c r="C15" t="e">
        <f ca="1"/>
        <v>#NAME?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9"/>
  <sheetViews>
    <sheetView workbookViewId="0">
      <selection activeCell="A48" sqref="A48"/>
    </sheetView>
  </sheetViews>
  <sheetFormatPr defaultRowHeight="14.25"/>
  <cols>
    <col min="1" max="3" width="14.25" customWidth="1"/>
  </cols>
  <sheetData>
    <row r="1" spans="1:3" ht="15">
      <c r="A1" s="1" t="s">
        <v>5</v>
      </c>
      <c r="B1" s="1" t="s">
        <v>3</v>
      </c>
      <c r="C1" s="1" t="s">
        <v>4</v>
      </c>
    </row>
    <row r="2" spans="1:3">
      <c r="A2" t="e" cm="1">
        <f t="array" aca="1" ref="A2:C79" ca="1">_xlfn.UNIQUE(_xlfn._xlws.FILTER(Specifications!D2:F97, (Specifications!D2:D97&lt;&gt;"") * (Specifications!E2:E97&lt;&gt;"") * (Specifications!F2:F97&lt;&gt;"")))</f>
        <v>#NAME?</v>
      </c>
      <c r="B2" t="e">
        <f ca="1"/>
        <v>#NAME?</v>
      </c>
      <c r="C2" t="e">
        <f ca="1"/>
        <v>#NAME?</v>
      </c>
    </row>
    <row r="3" spans="1:3">
      <c r="A3" t="e">
        <f ca="1"/>
        <v>#NAME?</v>
      </c>
      <c r="B3" t="e">
        <f ca="1"/>
        <v>#NAME?</v>
      </c>
      <c r="C3" t="e">
        <f ca="1"/>
        <v>#NAME?</v>
      </c>
    </row>
    <row r="4" spans="1:3">
      <c r="A4" t="e">
        <f ca="1"/>
        <v>#NAME?</v>
      </c>
      <c r="B4" t="e">
        <f ca="1"/>
        <v>#NAME?</v>
      </c>
      <c r="C4" t="e">
        <f ca="1"/>
        <v>#NAME?</v>
      </c>
    </row>
    <row r="5" spans="1:3">
      <c r="A5" t="e">
        <f ca="1"/>
        <v>#NAME?</v>
      </c>
      <c r="B5" t="e">
        <f ca="1"/>
        <v>#NAME?</v>
      </c>
      <c r="C5" t="e">
        <f ca="1"/>
        <v>#NAME?</v>
      </c>
    </row>
    <row r="6" spans="1:3">
      <c r="A6" t="e">
        <f ca="1"/>
        <v>#NAME?</v>
      </c>
      <c r="B6" t="e">
        <f ca="1"/>
        <v>#NAME?</v>
      </c>
      <c r="C6" t="e">
        <f ca="1"/>
        <v>#NAME?</v>
      </c>
    </row>
    <row r="7" spans="1:3">
      <c r="A7" t="e">
        <f ca="1"/>
        <v>#NAME?</v>
      </c>
      <c r="B7" t="e">
        <f ca="1"/>
        <v>#NAME?</v>
      </c>
      <c r="C7" t="e">
        <f ca="1"/>
        <v>#NAME?</v>
      </c>
    </row>
    <row r="8" spans="1:3">
      <c r="A8" t="e">
        <f ca="1"/>
        <v>#NAME?</v>
      </c>
      <c r="B8" t="e">
        <f ca="1"/>
        <v>#NAME?</v>
      </c>
      <c r="C8" t="e">
        <f ca="1"/>
        <v>#NAME?</v>
      </c>
    </row>
    <row r="9" spans="1:3">
      <c r="A9" t="e">
        <f ca="1"/>
        <v>#NAME?</v>
      </c>
      <c r="B9" t="e">
        <f ca="1"/>
        <v>#NAME?</v>
      </c>
      <c r="C9" t="e">
        <f ca="1"/>
        <v>#NAME?</v>
      </c>
    </row>
    <row r="10" spans="1:3">
      <c r="A10" t="e">
        <f ca="1"/>
        <v>#NAME?</v>
      </c>
      <c r="B10" t="e">
        <f ca="1"/>
        <v>#NAME?</v>
      </c>
      <c r="C10" t="e">
        <f ca="1"/>
        <v>#NAME?</v>
      </c>
    </row>
    <row r="11" spans="1:3">
      <c r="A11" t="e">
        <f ca="1"/>
        <v>#NAME?</v>
      </c>
      <c r="B11" t="e">
        <f ca="1"/>
        <v>#NAME?</v>
      </c>
      <c r="C11" t="e">
        <f ca="1"/>
        <v>#NAME?</v>
      </c>
    </row>
    <row r="12" spans="1:3">
      <c r="A12" t="e">
        <f ca="1"/>
        <v>#NAME?</v>
      </c>
      <c r="B12" t="e">
        <f ca="1"/>
        <v>#NAME?</v>
      </c>
      <c r="C12" t="e">
        <f ca="1"/>
        <v>#NAME?</v>
      </c>
    </row>
    <row r="13" spans="1:3">
      <c r="A13" t="e">
        <f ca="1"/>
        <v>#NAME?</v>
      </c>
      <c r="B13" t="e">
        <f ca="1"/>
        <v>#NAME?</v>
      </c>
      <c r="C13" t="e">
        <f ca="1"/>
        <v>#NAME?</v>
      </c>
    </row>
    <row r="14" spans="1:3">
      <c r="A14" t="e">
        <f ca="1"/>
        <v>#NAME?</v>
      </c>
      <c r="B14" t="e">
        <f ca="1"/>
        <v>#NAME?</v>
      </c>
      <c r="C14" t="e">
        <f ca="1"/>
        <v>#NAME?</v>
      </c>
    </row>
    <row r="15" spans="1:3">
      <c r="A15" t="e">
        <f ca="1"/>
        <v>#NAME?</v>
      </c>
      <c r="B15" t="e">
        <f ca="1"/>
        <v>#NAME?</v>
      </c>
      <c r="C15" t="e">
        <f ca="1"/>
        <v>#NAME?</v>
      </c>
    </row>
    <row r="16" spans="1:3">
      <c r="A16" t="e">
        <f ca="1"/>
        <v>#NAME?</v>
      </c>
      <c r="B16" t="e">
        <f ca="1"/>
        <v>#NAME?</v>
      </c>
      <c r="C16" t="e">
        <f ca="1"/>
        <v>#NAME?</v>
      </c>
    </row>
    <row r="17" spans="1:3">
      <c r="A17" t="e">
        <f ca="1"/>
        <v>#NAME?</v>
      </c>
      <c r="B17" t="e">
        <f ca="1"/>
        <v>#NAME?</v>
      </c>
      <c r="C17" t="e">
        <f ca="1"/>
        <v>#NAME?</v>
      </c>
    </row>
    <row r="18" spans="1:3">
      <c r="A18" t="e">
        <f ca="1"/>
        <v>#NAME?</v>
      </c>
      <c r="B18" t="e">
        <f ca="1"/>
        <v>#NAME?</v>
      </c>
      <c r="C18" t="e">
        <f ca="1"/>
        <v>#NAME?</v>
      </c>
    </row>
    <row r="19" spans="1:3">
      <c r="A19" t="e">
        <f ca="1"/>
        <v>#NAME?</v>
      </c>
      <c r="B19" t="e">
        <f ca="1"/>
        <v>#NAME?</v>
      </c>
      <c r="C19" t="e">
        <f ca="1"/>
        <v>#NAME?</v>
      </c>
    </row>
    <row r="20" spans="1:3">
      <c r="A20" t="e">
        <f ca="1"/>
        <v>#NAME?</v>
      </c>
      <c r="B20" t="e">
        <f ca="1"/>
        <v>#NAME?</v>
      </c>
      <c r="C20" t="e">
        <f ca="1"/>
        <v>#NAME?</v>
      </c>
    </row>
    <row r="21" spans="1:3">
      <c r="A21" t="e">
        <f ca="1"/>
        <v>#NAME?</v>
      </c>
      <c r="B21" t="e">
        <f ca="1"/>
        <v>#NAME?</v>
      </c>
      <c r="C21" t="e">
        <f ca="1"/>
        <v>#NAME?</v>
      </c>
    </row>
    <row r="22" spans="1:3">
      <c r="A22" t="e">
        <f ca="1"/>
        <v>#NAME?</v>
      </c>
      <c r="B22" t="e">
        <f ca="1"/>
        <v>#NAME?</v>
      </c>
      <c r="C22" t="e">
        <f ca="1"/>
        <v>#NAME?</v>
      </c>
    </row>
    <row r="23" spans="1:3">
      <c r="A23" t="e">
        <f ca="1"/>
        <v>#NAME?</v>
      </c>
      <c r="B23" t="e">
        <f ca="1"/>
        <v>#NAME?</v>
      </c>
      <c r="C23" t="e">
        <f ca="1"/>
        <v>#NAME?</v>
      </c>
    </row>
    <row r="24" spans="1:3">
      <c r="A24" t="e">
        <f ca="1"/>
        <v>#NAME?</v>
      </c>
      <c r="B24" t="e">
        <f ca="1"/>
        <v>#NAME?</v>
      </c>
      <c r="C24" t="e">
        <f ca="1"/>
        <v>#NAME?</v>
      </c>
    </row>
    <row r="25" spans="1:3">
      <c r="A25" t="e">
        <f ca="1"/>
        <v>#NAME?</v>
      </c>
      <c r="B25" t="e">
        <f ca="1"/>
        <v>#NAME?</v>
      </c>
      <c r="C25" t="e">
        <f ca="1"/>
        <v>#NAME?</v>
      </c>
    </row>
    <row r="26" spans="1:3">
      <c r="A26" t="e">
        <f ca="1"/>
        <v>#NAME?</v>
      </c>
      <c r="B26" t="e">
        <f ca="1"/>
        <v>#NAME?</v>
      </c>
      <c r="C26" t="e">
        <f ca="1"/>
        <v>#NAME?</v>
      </c>
    </row>
    <row r="27" spans="1:3">
      <c r="A27" t="e">
        <f ca="1"/>
        <v>#NAME?</v>
      </c>
      <c r="B27" t="e">
        <f ca="1"/>
        <v>#NAME?</v>
      </c>
      <c r="C27" t="e">
        <f ca="1"/>
        <v>#NAME?</v>
      </c>
    </row>
    <row r="28" spans="1:3">
      <c r="A28" t="e">
        <f ca="1"/>
        <v>#NAME?</v>
      </c>
      <c r="B28" t="e">
        <f ca="1"/>
        <v>#NAME?</v>
      </c>
      <c r="C28" t="e">
        <f ca="1"/>
        <v>#NAME?</v>
      </c>
    </row>
    <row r="29" spans="1:3">
      <c r="A29" t="e">
        <f ca="1"/>
        <v>#NAME?</v>
      </c>
      <c r="B29" t="e">
        <f ca="1"/>
        <v>#NAME?</v>
      </c>
      <c r="C29" t="e">
        <f ca="1"/>
        <v>#NAME?</v>
      </c>
    </row>
    <row r="30" spans="1:3">
      <c r="A30" t="e">
        <f ca="1"/>
        <v>#NAME?</v>
      </c>
      <c r="B30" t="e">
        <f ca="1"/>
        <v>#NAME?</v>
      </c>
      <c r="C30" t="e">
        <f ca="1"/>
        <v>#NAME?</v>
      </c>
    </row>
    <row r="31" spans="1:3">
      <c r="A31" t="e">
        <f ca="1"/>
        <v>#NAME?</v>
      </c>
      <c r="B31" t="e">
        <f ca="1"/>
        <v>#NAME?</v>
      </c>
      <c r="C31" t="e">
        <f ca="1"/>
        <v>#NAME?</v>
      </c>
    </row>
    <row r="32" spans="1:3">
      <c r="A32" t="e">
        <f ca="1"/>
        <v>#NAME?</v>
      </c>
      <c r="B32" t="e">
        <f ca="1"/>
        <v>#NAME?</v>
      </c>
      <c r="C32" t="e">
        <f ca="1"/>
        <v>#NAME?</v>
      </c>
    </row>
    <row r="33" spans="1:3">
      <c r="A33" t="e">
        <f ca="1"/>
        <v>#NAME?</v>
      </c>
      <c r="B33" t="e">
        <f ca="1"/>
        <v>#NAME?</v>
      </c>
      <c r="C33" t="e">
        <f ca="1"/>
        <v>#NAME?</v>
      </c>
    </row>
    <row r="34" spans="1:3">
      <c r="A34" t="e">
        <f ca="1"/>
        <v>#NAME?</v>
      </c>
      <c r="B34" t="e">
        <f ca="1"/>
        <v>#NAME?</v>
      </c>
      <c r="C34" t="e">
        <f ca="1"/>
        <v>#NAME?</v>
      </c>
    </row>
    <row r="35" spans="1:3">
      <c r="A35" t="e">
        <f ca="1"/>
        <v>#NAME?</v>
      </c>
      <c r="B35" t="e">
        <f ca="1"/>
        <v>#NAME?</v>
      </c>
      <c r="C35" t="e">
        <f ca="1"/>
        <v>#NAME?</v>
      </c>
    </row>
    <row r="36" spans="1:3">
      <c r="A36" t="e">
        <f ca="1"/>
        <v>#NAME?</v>
      </c>
      <c r="B36" t="e">
        <f ca="1"/>
        <v>#NAME?</v>
      </c>
      <c r="C36" t="e">
        <f ca="1"/>
        <v>#NAME?</v>
      </c>
    </row>
    <row r="37" spans="1:3">
      <c r="A37" t="e">
        <f ca="1"/>
        <v>#NAME?</v>
      </c>
      <c r="B37" t="e">
        <f ca="1"/>
        <v>#NAME?</v>
      </c>
      <c r="C37" t="e">
        <f ca="1"/>
        <v>#NAME?</v>
      </c>
    </row>
    <row r="38" spans="1:3">
      <c r="A38" t="e">
        <f ca="1"/>
        <v>#NAME?</v>
      </c>
      <c r="B38" t="e">
        <f ca="1"/>
        <v>#NAME?</v>
      </c>
      <c r="C38" t="e">
        <f ca="1"/>
        <v>#NAME?</v>
      </c>
    </row>
    <row r="39" spans="1:3">
      <c r="A39" t="e">
        <f ca="1"/>
        <v>#NAME?</v>
      </c>
      <c r="B39" t="e">
        <f ca="1"/>
        <v>#NAME?</v>
      </c>
      <c r="C39" t="e">
        <f ca="1"/>
        <v>#NAME?</v>
      </c>
    </row>
    <row r="40" spans="1:3">
      <c r="A40" t="e">
        <f ca="1"/>
        <v>#NAME?</v>
      </c>
      <c r="B40" t="e">
        <f ca="1"/>
        <v>#NAME?</v>
      </c>
      <c r="C40" t="e">
        <f ca="1"/>
        <v>#NAME?</v>
      </c>
    </row>
    <row r="41" spans="1:3">
      <c r="A41" t="e">
        <f ca="1"/>
        <v>#NAME?</v>
      </c>
      <c r="B41" t="e">
        <f ca="1"/>
        <v>#NAME?</v>
      </c>
      <c r="C41" t="e">
        <f ca="1"/>
        <v>#NAME?</v>
      </c>
    </row>
    <row r="42" spans="1:3">
      <c r="A42" t="e">
        <f ca="1"/>
        <v>#NAME?</v>
      </c>
      <c r="B42" t="e">
        <f ca="1"/>
        <v>#NAME?</v>
      </c>
      <c r="C42" t="e">
        <f ca="1"/>
        <v>#NAME?</v>
      </c>
    </row>
    <row r="43" spans="1:3">
      <c r="A43" t="e">
        <f ca="1"/>
        <v>#NAME?</v>
      </c>
      <c r="B43" t="e">
        <f ca="1"/>
        <v>#NAME?</v>
      </c>
      <c r="C43" t="e">
        <f ca="1"/>
        <v>#NAME?</v>
      </c>
    </row>
    <row r="44" spans="1:3">
      <c r="A44" t="e">
        <f ca="1"/>
        <v>#NAME?</v>
      </c>
      <c r="B44" t="e">
        <f ca="1"/>
        <v>#NAME?</v>
      </c>
      <c r="C44" t="e">
        <f ca="1"/>
        <v>#NAME?</v>
      </c>
    </row>
    <row r="45" spans="1:3">
      <c r="A45" t="e">
        <f ca="1"/>
        <v>#NAME?</v>
      </c>
      <c r="B45" t="e">
        <f ca="1"/>
        <v>#NAME?</v>
      </c>
      <c r="C45" t="e">
        <f ca="1"/>
        <v>#NAME?</v>
      </c>
    </row>
    <row r="46" spans="1:3">
      <c r="A46" t="e">
        <f ca="1"/>
        <v>#NAME?</v>
      </c>
      <c r="B46" t="e">
        <f ca="1"/>
        <v>#NAME?</v>
      </c>
      <c r="C46" t="e">
        <f ca="1"/>
        <v>#NAME?</v>
      </c>
    </row>
    <row r="47" spans="1:3">
      <c r="A47" t="e">
        <f ca="1"/>
        <v>#NAME?</v>
      </c>
      <c r="B47" t="e">
        <f ca="1"/>
        <v>#NAME?</v>
      </c>
      <c r="C47" t="e">
        <f ca="1"/>
        <v>#NAME?</v>
      </c>
    </row>
    <row r="48" spans="1:3">
      <c r="A48" t="e">
        <f ca="1"/>
        <v>#NAME?</v>
      </c>
      <c r="B48" t="e">
        <f ca="1"/>
        <v>#NAME?</v>
      </c>
      <c r="C48" t="e">
        <f ca="1"/>
        <v>#NAME?</v>
      </c>
    </row>
    <row r="49" spans="1:3">
      <c r="A49" t="e">
        <f ca="1"/>
        <v>#NAME?</v>
      </c>
      <c r="B49" t="e">
        <f ca="1"/>
        <v>#NAME?</v>
      </c>
      <c r="C49" t="e">
        <f ca="1"/>
        <v>#NAME?</v>
      </c>
    </row>
    <row r="50" spans="1:3">
      <c r="A50" t="e">
        <f ca="1"/>
        <v>#NAME?</v>
      </c>
      <c r="B50" t="e">
        <f ca="1"/>
        <v>#NAME?</v>
      </c>
      <c r="C50" t="e">
        <f ca="1"/>
        <v>#NAME?</v>
      </c>
    </row>
    <row r="51" spans="1:3">
      <c r="A51" t="e">
        <f ca="1"/>
        <v>#NAME?</v>
      </c>
      <c r="B51" t="e">
        <f ca="1"/>
        <v>#NAME?</v>
      </c>
      <c r="C51" t="e">
        <f ca="1"/>
        <v>#NAME?</v>
      </c>
    </row>
    <row r="52" spans="1:3">
      <c r="A52" t="e">
        <f ca="1"/>
        <v>#NAME?</v>
      </c>
      <c r="B52" t="e">
        <f ca="1"/>
        <v>#NAME?</v>
      </c>
      <c r="C52" t="e">
        <f ca="1"/>
        <v>#NAME?</v>
      </c>
    </row>
    <row r="53" spans="1:3">
      <c r="A53" t="e">
        <f ca="1"/>
        <v>#NAME?</v>
      </c>
      <c r="B53" t="e">
        <f ca="1"/>
        <v>#NAME?</v>
      </c>
      <c r="C53" t="e">
        <f ca="1"/>
        <v>#NAME?</v>
      </c>
    </row>
    <row r="54" spans="1:3">
      <c r="A54" t="e">
        <f ca="1"/>
        <v>#NAME?</v>
      </c>
      <c r="B54" t="e">
        <f ca="1"/>
        <v>#NAME?</v>
      </c>
      <c r="C54" t="e">
        <f ca="1"/>
        <v>#NAME?</v>
      </c>
    </row>
    <row r="55" spans="1:3">
      <c r="A55" t="e">
        <f ca="1"/>
        <v>#NAME?</v>
      </c>
      <c r="B55" t="e">
        <f ca="1"/>
        <v>#NAME?</v>
      </c>
      <c r="C55" t="e">
        <f ca="1"/>
        <v>#NAME?</v>
      </c>
    </row>
    <row r="56" spans="1:3">
      <c r="A56" t="e">
        <f ca="1"/>
        <v>#NAME?</v>
      </c>
      <c r="B56" t="e">
        <f ca="1"/>
        <v>#NAME?</v>
      </c>
      <c r="C56" t="e">
        <f ca="1"/>
        <v>#NAME?</v>
      </c>
    </row>
    <row r="57" spans="1:3">
      <c r="A57" t="e">
        <f ca="1"/>
        <v>#NAME?</v>
      </c>
      <c r="B57" t="e">
        <f ca="1"/>
        <v>#NAME?</v>
      </c>
      <c r="C57" t="e">
        <f ca="1"/>
        <v>#NAME?</v>
      </c>
    </row>
    <row r="58" spans="1:3">
      <c r="A58" t="e">
        <f ca="1"/>
        <v>#NAME?</v>
      </c>
      <c r="B58" t="e">
        <f ca="1"/>
        <v>#NAME?</v>
      </c>
      <c r="C58" t="e">
        <f ca="1"/>
        <v>#NAME?</v>
      </c>
    </row>
    <row r="59" spans="1:3">
      <c r="A59" t="e">
        <f ca="1"/>
        <v>#NAME?</v>
      </c>
      <c r="B59" t="e">
        <f ca="1"/>
        <v>#NAME?</v>
      </c>
      <c r="C59" t="e">
        <f ca="1"/>
        <v>#NAME?</v>
      </c>
    </row>
    <row r="60" spans="1:3">
      <c r="A60" t="e">
        <f ca="1"/>
        <v>#NAME?</v>
      </c>
      <c r="B60" t="e">
        <f ca="1"/>
        <v>#NAME?</v>
      </c>
      <c r="C60" t="e">
        <f ca="1"/>
        <v>#NAME?</v>
      </c>
    </row>
    <row r="61" spans="1:3">
      <c r="A61" t="e">
        <f ca="1"/>
        <v>#NAME?</v>
      </c>
      <c r="B61" t="e">
        <f ca="1"/>
        <v>#NAME?</v>
      </c>
      <c r="C61" t="e">
        <f ca="1"/>
        <v>#NAME?</v>
      </c>
    </row>
    <row r="62" spans="1:3">
      <c r="A62" t="e">
        <f ca="1"/>
        <v>#NAME?</v>
      </c>
      <c r="B62" t="e">
        <f ca="1"/>
        <v>#NAME?</v>
      </c>
      <c r="C62" t="e">
        <f ca="1"/>
        <v>#NAME?</v>
      </c>
    </row>
    <row r="63" spans="1:3">
      <c r="A63" t="e">
        <f ca="1"/>
        <v>#NAME?</v>
      </c>
      <c r="B63" t="e">
        <f ca="1"/>
        <v>#NAME?</v>
      </c>
      <c r="C63" t="e">
        <f ca="1"/>
        <v>#NAME?</v>
      </c>
    </row>
    <row r="64" spans="1:3">
      <c r="A64" t="e">
        <f ca="1"/>
        <v>#NAME?</v>
      </c>
      <c r="B64" t="e">
        <f ca="1"/>
        <v>#NAME?</v>
      </c>
      <c r="C64" t="e">
        <f ca="1"/>
        <v>#NAME?</v>
      </c>
    </row>
    <row r="65" spans="1:3">
      <c r="A65" t="e">
        <f ca="1"/>
        <v>#NAME?</v>
      </c>
      <c r="B65" t="e">
        <f ca="1"/>
        <v>#NAME?</v>
      </c>
      <c r="C65" t="e">
        <f ca="1"/>
        <v>#NAME?</v>
      </c>
    </row>
    <row r="66" spans="1:3">
      <c r="A66" t="e">
        <f ca="1"/>
        <v>#NAME?</v>
      </c>
      <c r="B66" t="e">
        <f ca="1"/>
        <v>#NAME?</v>
      </c>
      <c r="C66" t="e">
        <f ca="1"/>
        <v>#NAME?</v>
      </c>
    </row>
    <row r="67" spans="1:3">
      <c r="A67" t="e">
        <f ca="1"/>
        <v>#NAME?</v>
      </c>
      <c r="B67" t="e">
        <f ca="1"/>
        <v>#NAME?</v>
      </c>
      <c r="C67" t="e">
        <f ca="1"/>
        <v>#NAME?</v>
      </c>
    </row>
    <row r="68" spans="1:3">
      <c r="A68" t="e">
        <f ca="1"/>
        <v>#NAME?</v>
      </c>
      <c r="B68" t="e">
        <f ca="1"/>
        <v>#NAME?</v>
      </c>
      <c r="C68" t="e">
        <f ca="1"/>
        <v>#NAME?</v>
      </c>
    </row>
    <row r="69" spans="1:3">
      <c r="A69" t="e">
        <f ca="1"/>
        <v>#NAME?</v>
      </c>
      <c r="B69" t="e">
        <f ca="1"/>
        <v>#NAME?</v>
      </c>
      <c r="C69" t="e">
        <f ca="1"/>
        <v>#NAME?</v>
      </c>
    </row>
    <row r="70" spans="1:3">
      <c r="A70" t="e">
        <f ca="1"/>
        <v>#NAME?</v>
      </c>
      <c r="B70" t="e">
        <f ca="1"/>
        <v>#NAME?</v>
      </c>
      <c r="C70" t="e">
        <f ca="1"/>
        <v>#NAME?</v>
      </c>
    </row>
    <row r="71" spans="1:3">
      <c r="A71" t="e">
        <f ca="1"/>
        <v>#NAME?</v>
      </c>
      <c r="B71" t="e">
        <f ca="1"/>
        <v>#NAME?</v>
      </c>
      <c r="C71" t="e">
        <f ca="1"/>
        <v>#NAME?</v>
      </c>
    </row>
    <row r="72" spans="1:3">
      <c r="A72" t="e">
        <f ca="1"/>
        <v>#NAME?</v>
      </c>
      <c r="B72" t="e">
        <f ca="1"/>
        <v>#NAME?</v>
      </c>
      <c r="C72" t="e">
        <f ca="1"/>
        <v>#NAME?</v>
      </c>
    </row>
    <row r="73" spans="1:3">
      <c r="A73" t="e">
        <f ca="1"/>
        <v>#NAME?</v>
      </c>
      <c r="B73" t="e">
        <f ca="1"/>
        <v>#NAME?</v>
      </c>
      <c r="C73" t="e">
        <f ca="1"/>
        <v>#NAME?</v>
      </c>
    </row>
    <row r="74" spans="1:3">
      <c r="A74" t="e">
        <f ca="1"/>
        <v>#NAME?</v>
      </c>
      <c r="B74" t="e">
        <f ca="1"/>
        <v>#NAME?</v>
      </c>
      <c r="C74" t="e">
        <f ca="1"/>
        <v>#NAME?</v>
      </c>
    </row>
    <row r="75" spans="1:3">
      <c r="A75" t="e">
        <f ca="1"/>
        <v>#NAME?</v>
      </c>
      <c r="B75" t="e">
        <f ca="1"/>
        <v>#NAME?</v>
      </c>
      <c r="C75" t="e">
        <f ca="1"/>
        <v>#NAME?</v>
      </c>
    </row>
    <row r="76" spans="1:3">
      <c r="A76" t="e">
        <f ca="1"/>
        <v>#NAME?</v>
      </c>
      <c r="B76" t="e">
        <f ca="1"/>
        <v>#NAME?</v>
      </c>
      <c r="C76" t="e">
        <f ca="1"/>
        <v>#NAME?</v>
      </c>
    </row>
    <row r="77" spans="1:3">
      <c r="A77" t="e">
        <f ca="1"/>
        <v>#NAME?</v>
      </c>
      <c r="B77" t="e">
        <f ca="1"/>
        <v>#NAME?</v>
      </c>
      <c r="C77" t="e">
        <f ca="1"/>
        <v>#NAME?</v>
      </c>
    </row>
    <row r="78" spans="1:3">
      <c r="A78" t="e">
        <f ca="1"/>
        <v>#NAME?</v>
      </c>
      <c r="B78" t="e">
        <f ca="1"/>
        <v>#NAME?</v>
      </c>
      <c r="C78" t="e">
        <f ca="1"/>
        <v>#NAME?</v>
      </c>
    </row>
    <row r="79" spans="1:3">
      <c r="A79" t="e">
        <f ca="1"/>
        <v>#NAME?</v>
      </c>
      <c r="B79" t="e">
        <f ca="1"/>
        <v>#NAME?</v>
      </c>
      <c r="C79" t="e">
        <f ca="1"/>
        <v>#NAME?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222"/>
  <sheetViews>
    <sheetView tabSelected="1" topLeftCell="A127" zoomScale="80" zoomScaleNormal="80" workbookViewId="0">
      <selection activeCell="B141" sqref="B141"/>
    </sheetView>
  </sheetViews>
  <sheetFormatPr defaultRowHeight="14.25"/>
  <cols>
    <col min="1" max="8" width="15.75" customWidth="1"/>
    <col min="9" max="10" width="15.75" style="5" customWidth="1"/>
    <col min="11" max="13" width="15.75" customWidth="1"/>
    <col min="15" max="15" width="18.5" bestFit="1" customWidth="1"/>
    <col min="16" max="16" width="18.5" customWidth="1"/>
    <col min="17" max="17" width="16.875" customWidth="1"/>
  </cols>
  <sheetData>
    <row r="1" spans="1:18" s="3" customFormat="1" ht="18">
      <c r="A1" s="2" t="s">
        <v>16</v>
      </c>
      <c r="B1" s="2" t="s">
        <v>24</v>
      </c>
      <c r="C1" s="2" t="s">
        <v>12</v>
      </c>
      <c r="D1" s="2" t="s">
        <v>14</v>
      </c>
      <c r="E1" s="2" t="s">
        <v>25</v>
      </c>
      <c r="F1" s="2" t="s">
        <v>13</v>
      </c>
      <c r="G1" s="2" t="s">
        <v>17</v>
      </c>
      <c r="H1" s="2" t="s">
        <v>18</v>
      </c>
      <c r="I1" s="6" t="s">
        <v>114</v>
      </c>
      <c r="J1" s="6" t="s">
        <v>115</v>
      </c>
      <c r="K1" s="2" t="s">
        <v>59</v>
      </c>
      <c r="L1" s="2" t="s">
        <v>15</v>
      </c>
      <c r="M1" s="2" t="s">
        <v>7</v>
      </c>
      <c r="N1" s="2" t="s">
        <v>8</v>
      </c>
      <c r="O1" s="2" t="s">
        <v>116</v>
      </c>
      <c r="P1" s="2" t="s">
        <v>117</v>
      </c>
      <c r="Q1" s="2" t="s">
        <v>6</v>
      </c>
      <c r="R1" s="2" t="s">
        <v>9</v>
      </c>
    </row>
    <row r="2" spans="1:18">
      <c r="A2" t="s">
        <v>2</v>
      </c>
      <c r="B2" t="s">
        <v>10</v>
      </c>
      <c r="C2" t="s">
        <v>11</v>
      </c>
      <c r="D2" t="s">
        <v>2</v>
      </c>
      <c r="E2" t="s">
        <v>0</v>
      </c>
      <c r="F2" t="s">
        <v>39</v>
      </c>
      <c r="G2">
        <v>3</v>
      </c>
      <c r="H2">
        <v>3</v>
      </c>
      <c r="I2" s="5" t="s">
        <v>118</v>
      </c>
      <c r="J2" s="5" t="s">
        <v>118</v>
      </c>
      <c r="K2" t="s">
        <v>22</v>
      </c>
      <c r="L2">
        <v>150</v>
      </c>
      <c r="M2">
        <v>280</v>
      </c>
      <c r="N2">
        <v>265</v>
      </c>
      <c r="O2">
        <v>285</v>
      </c>
      <c r="P2">
        <v>0.8</v>
      </c>
      <c r="Q2">
        <f>3600*2.20462</f>
        <v>7936.6319999999996</v>
      </c>
    </row>
    <row r="3" spans="1:18">
      <c r="A3" t="s">
        <v>2</v>
      </c>
      <c r="B3" t="s">
        <v>10</v>
      </c>
      <c r="C3" t="s">
        <v>11</v>
      </c>
      <c r="D3" t="s">
        <v>2</v>
      </c>
      <c r="E3" t="s">
        <v>19</v>
      </c>
      <c r="F3" t="s">
        <v>39</v>
      </c>
      <c r="G3">
        <v>3</v>
      </c>
      <c r="H3">
        <v>3</v>
      </c>
      <c r="I3" s="5" t="s">
        <v>118</v>
      </c>
      <c r="J3" s="5" t="s">
        <v>118</v>
      </c>
      <c r="K3" t="s">
        <v>22</v>
      </c>
      <c r="L3">
        <v>200</v>
      </c>
      <c r="M3">
        <v>300</v>
      </c>
      <c r="N3">
        <v>250</v>
      </c>
      <c r="O3">
        <v>290</v>
      </c>
      <c r="P3">
        <v>0.72</v>
      </c>
      <c r="Q3">
        <f>1900*2.20462</f>
        <v>4188.7779999999993</v>
      </c>
    </row>
    <row r="4" spans="1:18">
      <c r="A4" t="s">
        <v>2</v>
      </c>
      <c r="B4" t="s">
        <v>10</v>
      </c>
      <c r="C4" t="s">
        <v>11</v>
      </c>
      <c r="D4" t="s">
        <v>2</v>
      </c>
      <c r="E4" t="s">
        <v>20</v>
      </c>
      <c r="F4" t="s">
        <v>40</v>
      </c>
      <c r="G4">
        <v>3</v>
      </c>
      <c r="H4">
        <v>3</v>
      </c>
      <c r="I4" s="5" t="s">
        <v>118</v>
      </c>
      <c r="J4" s="5" t="s">
        <v>118</v>
      </c>
      <c r="K4" t="s">
        <v>60</v>
      </c>
      <c r="L4" t="s">
        <v>119</v>
      </c>
      <c r="M4">
        <v>350</v>
      </c>
      <c r="N4">
        <v>250</v>
      </c>
      <c r="O4">
        <v>300</v>
      </c>
      <c r="P4">
        <v>0.8</v>
      </c>
      <c r="Q4">
        <f>1200 * 2.20462</f>
        <v>2645.5439999999999</v>
      </c>
      <c r="R4" t="s">
        <v>121</v>
      </c>
    </row>
    <row r="5" spans="1:18">
      <c r="A5" t="s">
        <v>2</v>
      </c>
      <c r="B5" t="s">
        <v>10</v>
      </c>
      <c r="C5" t="s">
        <v>11</v>
      </c>
      <c r="D5" t="s">
        <v>2</v>
      </c>
      <c r="E5" t="s">
        <v>32</v>
      </c>
      <c r="F5" t="s">
        <v>39</v>
      </c>
      <c r="G5">
        <v>3</v>
      </c>
      <c r="H5">
        <v>3</v>
      </c>
      <c r="I5" s="5" t="s">
        <v>118</v>
      </c>
      <c r="J5" s="5" t="s">
        <v>118</v>
      </c>
      <c r="K5" t="s">
        <v>60</v>
      </c>
      <c r="L5" t="s">
        <v>119</v>
      </c>
      <c r="M5">
        <v>350</v>
      </c>
      <c r="N5">
        <v>250</v>
      </c>
      <c r="O5">
        <v>300</v>
      </c>
      <c r="P5">
        <v>0.8</v>
      </c>
      <c r="Q5">
        <f>1200 * 2.20462</f>
        <v>2645.5439999999999</v>
      </c>
      <c r="R5" t="s">
        <v>120</v>
      </c>
    </row>
    <row r="6" spans="1:18">
      <c r="A6" t="s">
        <v>2</v>
      </c>
      <c r="B6" t="s">
        <v>10</v>
      </c>
      <c r="C6" t="s">
        <v>11</v>
      </c>
      <c r="D6" t="s">
        <v>2</v>
      </c>
      <c r="E6" t="s">
        <v>21</v>
      </c>
      <c r="F6" t="s">
        <v>39</v>
      </c>
      <c r="G6">
        <v>3</v>
      </c>
      <c r="H6">
        <v>3</v>
      </c>
      <c r="I6" s="5" t="s">
        <v>118</v>
      </c>
      <c r="J6" s="5" t="s">
        <v>118</v>
      </c>
      <c r="K6" t="s">
        <v>22</v>
      </c>
      <c r="L6">
        <v>80</v>
      </c>
      <c r="M6">
        <v>350</v>
      </c>
      <c r="N6">
        <v>265</v>
      </c>
      <c r="O6">
        <v>325</v>
      </c>
      <c r="P6">
        <v>0.84</v>
      </c>
      <c r="Q6">
        <f>1000*2.20462</f>
        <v>2204.62</v>
      </c>
    </row>
    <row r="7" spans="1:18">
      <c r="A7" t="s">
        <v>2</v>
      </c>
      <c r="B7" t="s">
        <v>10</v>
      </c>
      <c r="C7" t="s">
        <v>11</v>
      </c>
      <c r="D7" t="s">
        <v>2</v>
      </c>
      <c r="E7" t="s">
        <v>10</v>
      </c>
      <c r="F7" t="s">
        <v>11</v>
      </c>
      <c r="G7">
        <v>3</v>
      </c>
      <c r="H7">
        <v>3</v>
      </c>
      <c r="I7" s="5" t="s">
        <v>118</v>
      </c>
      <c r="J7" s="5" t="s">
        <v>118</v>
      </c>
      <c r="K7" t="s">
        <v>22</v>
      </c>
      <c r="L7">
        <v>150</v>
      </c>
      <c r="M7">
        <v>300</v>
      </c>
      <c r="N7">
        <v>250</v>
      </c>
      <c r="O7">
        <v>290</v>
      </c>
      <c r="P7">
        <v>0.8</v>
      </c>
      <c r="Q7">
        <f>3600*2.20462</f>
        <v>7936.6319999999996</v>
      </c>
    </row>
    <row r="8" spans="1:18">
      <c r="A8" t="s">
        <v>2</v>
      </c>
      <c r="B8" t="s">
        <v>10</v>
      </c>
      <c r="C8" t="s">
        <v>11</v>
      </c>
      <c r="D8" t="s">
        <v>2</v>
      </c>
      <c r="E8" t="s">
        <v>33</v>
      </c>
      <c r="F8" t="s">
        <v>39</v>
      </c>
      <c r="G8">
        <v>3</v>
      </c>
      <c r="H8">
        <v>3</v>
      </c>
      <c r="I8" s="5" t="s">
        <v>118</v>
      </c>
      <c r="J8" s="5" t="s">
        <v>118</v>
      </c>
      <c r="K8" t="s">
        <v>22</v>
      </c>
      <c r="L8">
        <v>80</v>
      </c>
      <c r="M8">
        <v>280</v>
      </c>
      <c r="N8">
        <v>250</v>
      </c>
      <c r="O8">
        <v>300</v>
      </c>
      <c r="P8">
        <v>0.76</v>
      </c>
      <c r="Q8">
        <f>1900*2.20462</f>
        <v>4188.7779999999993</v>
      </c>
    </row>
    <row r="9" spans="1:18">
      <c r="A9" t="s">
        <v>2</v>
      </c>
      <c r="B9" t="s">
        <v>10</v>
      </c>
      <c r="C9" t="s">
        <v>11</v>
      </c>
      <c r="D9" t="s">
        <v>1</v>
      </c>
      <c r="E9" t="s">
        <v>27</v>
      </c>
      <c r="F9" t="s">
        <v>22</v>
      </c>
      <c r="G9">
        <v>3</v>
      </c>
      <c r="H9">
        <v>3</v>
      </c>
      <c r="I9" s="5" t="s">
        <v>118</v>
      </c>
      <c r="J9" s="5" t="s">
        <v>118</v>
      </c>
      <c r="K9" t="s">
        <v>22</v>
      </c>
      <c r="L9">
        <v>100</v>
      </c>
      <c r="M9">
        <v>270</v>
      </c>
      <c r="N9">
        <v>290</v>
      </c>
      <c r="O9">
        <v>315</v>
      </c>
      <c r="P9">
        <v>0.8</v>
      </c>
      <c r="Q9">
        <f>3600*2.20462</f>
        <v>7936.6319999999996</v>
      </c>
    </row>
    <row r="10" spans="1:18">
      <c r="A10" t="s">
        <v>2</v>
      </c>
      <c r="B10" t="s">
        <v>10</v>
      </c>
      <c r="C10" t="s">
        <v>11</v>
      </c>
      <c r="D10" t="s">
        <v>1</v>
      </c>
      <c r="E10" t="s">
        <v>26</v>
      </c>
      <c r="F10" t="s">
        <v>41</v>
      </c>
      <c r="G10">
        <v>3</v>
      </c>
      <c r="H10">
        <v>3</v>
      </c>
      <c r="I10" s="5" t="s">
        <v>118</v>
      </c>
      <c r="J10" s="5" t="s">
        <v>118</v>
      </c>
      <c r="K10" t="s">
        <v>22</v>
      </c>
      <c r="L10">
        <v>100</v>
      </c>
      <c r="M10">
        <v>200</v>
      </c>
      <c r="N10">
        <v>190</v>
      </c>
      <c r="O10">
        <v>240</v>
      </c>
      <c r="P10">
        <v>0.46</v>
      </c>
      <c r="Q10">
        <f>1200*2.20462</f>
        <v>2645.5439999999999</v>
      </c>
    </row>
    <row r="11" spans="1:18">
      <c r="A11" t="s">
        <v>2</v>
      </c>
      <c r="B11" t="s">
        <v>10</v>
      </c>
      <c r="C11" t="s">
        <v>11</v>
      </c>
      <c r="D11" t="s">
        <v>37</v>
      </c>
      <c r="E11" t="s">
        <v>36</v>
      </c>
      <c r="F11" t="s">
        <v>42</v>
      </c>
      <c r="G11">
        <v>3</v>
      </c>
      <c r="H11" t="s">
        <v>35</v>
      </c>
      <c r="I11" s="5" t="s">
        <v>118</v>
      </c>
      <c r="J11" s="5" t="s">
        <v>35</v>
      </c>
      <c r="K11" t="s">
        <v>22</v>
      </c>
      <c r="L11">
        <v>100</v>
      </c>
      <c r="M11">
        <v>310</v>
      </c>
      <c r="N11">
        <v>265</v>
      </c>
      <c r="O11">
        <v>300</v>
      </c>
      <c r="P11">
        <v>0.8</v>
      </c>
      <c r="Q11">
        <f>1400*2.20462</f>
        <v>3086.4679999999998</v>
      </c>
    </row>
    <row r="12" spans="1:18">
      <c r="A12" t="s">
        <v>2</v>
      </c>
      <c r="B12" t="s">
        <v>10</v>
      </c>
      <c r="C12" t="s">
        <v>11</v>
      </c>
      <c r="D12" t="s">
        <v>37</v>
      </c>
      <c r="E12" t="s">
        <v>36</v>
      </c>
      <c r="F12" t="s">
        <v>43</v>
      </c>
      <c r="G12">
        <v>3</v>
      </c>
      <c r="H12" t="s">
        <v>35</v>
      </c>
      <c r="I12" s="5" t="s">
        <v>118</v>
      </c>
      <c r="J12" s="5" t="s">
        <v>35</v>
      </c>
      <c r="K12" t="s">
        <v>22</v>
      </c>
      <c r="L12">
        <v>100</v>
      </c>
      <c r="M12">
        <v>300</v>
      </c>
      <c r="N12">
        <v>265</v>
      </c>
      <c r="O12">
        <v>300</v>
      </c>
      <c r="P12">
        <v>0.77</v>
      </c>
      <c r="Q12">
        <f>1400*2.20462</f>
        <v>3086.4679999999998</v>
      </c>
    </row>
    <row r="13" spans="1:18">
      <c r="A13" t="s">
        <v>2</v>
      </c>
      <c r="B13" t="s">
        <v>10</v>
      </c>
      <c r="C13" t="s">
        <v>11</v>
      </c>
      <c r="D13" t="s">
        <v>37</v>
      </c>
      <c r="E13" t="s">
        <v>36</v>
      </c>
      <c r="F13" t="s">
        <v>46</v>
      </c>
      <c r="G13">
        <v>2</v>
      </c>
      <c r="H13" t="s">
        <v>35</v>
      </c>
      <c r="I13" s="5" t="s">
        <v>118</v>
      </c>
      <c r="J13" s="5" t="s">
        <v>35</v>
      </c>
      <c r="K13" t="s">
        <v>22</v>
      </c>
      <c r="L13">
        <v>100</v>
      </c>
      <c r="M13">
        <v>300</v>
      </c>
      <c r="N13">
        <v>265</v>
      </c>
      <c r="O13">
        <v>290</v>
      </c>
      <c r="P13">
        <v>0.8</v>
      </c>
      <c r="Q13">
        <f>1400*2.20462</f>
        <v>3086.4679999999998</v>
      </c>
      <c r="R13" t="s">
        <v>38</v>
      </c>
    </row>
    <row r="14" spans="1:18">
      <c r="A14" t="s">
        <v>2</v>
      </c>
      <c r="B14" t="s">
        <v>10</v>
      </c>
      <c r="C14" t="s">
        <v>11</v>
      </c>
      <c r="D14" t="s">
        <v>54</v>
      </c>
      <c r="E14" t="s">
        <v>36</v>
      </c>
      <c r="F14" t="s">
        <v>44</v>
      </c>
      <c r="G14">
        <v>2</v>
      </c>
      <c r="H14" t="s">
        <v>35</v>
      </c>
      <c r="I14" s="5" t="s">
        <v>118</v>
      </c>
      <c r="J14" s="5" t="s">
        <v>35</v>
      </c>
      <c r="K14" t="s">
        <v>22</v>
      </c>
      <c r="L14">
        <v>100</v>
      </c>
      <c r="M14">
        <v>300</v>
      </c>
      <c r="N14">
        <v>265</v>
      </c>
      <c r="O14">
        <v>290</v>
      </c>
      <c r="P14">
        <v>0.78</v>
      </c>
      <c r="Q14">
        <f>1400*2.20462</f>
        <v>3086.4679999999998</v>
      </c>
      <c r="R14" t="s">
        <v>38</v>
      </c>
    </row>
    <row r="15" spans="1:18">
      <c r="A15" t="s">
        <v>2</v>
      </c>
      <c r="B15" t="s">
        <v>10</v>
      </c>
      <c r="C15" t="s">
        <v>11</v>
      </c>
      <c r="D15" t="s">
        <v>45</v>
      </c>
      <c r="E15" t="s">
        <v>30</v>
      </c>
      <c r="F15" t="s">
        <v>39</v>
      </c>
      <c r="G15">
        <v>3</v>
      </c>
      <c r="H15" t="s">
        <v>35</v>
      </c>
      <c r="I15" s="5" t="s">
        <v>118</v>
      </c>
      <c r="J15" s="5" t="s">
        <v>35</v>
      </c>
      <c r="K15" t="s">
        <v>22</v>
      </c>
      <c r="L15">
        <v>80</v>
      </c>
      <c r="M15">
        <v>300</v>
      </c>
      <c r="N15">
        <v>265</v>
      </c>
      <c r="O15">
        <v>315</v>
      </c>
      <c r="P15">
        <v>0.76</v>
      </c>
      <c r="Q15">
        <f t="shared" ref="Q15:Q29" si="0">1400*2.20462</f>
        <v>3086.4679999999998</v>
      </c>
    </row>
    <row r="16" spans="1:18">
      <c r="A16" t="s">
        <v>2</v>
      </c>
      <c r="B16" t="s">
        <v>10</v>
      </c>
      <c r="C16" t="s">
        <v>11</v>
      </c>
      <c r="D16" t="s">
        <v>47</v>
      </c>
      <c r="E16" t="s">
        <v>30</v>
      </c>
      <c r="F16" t="s">
        <v>39</v>
      </c>
      <c r="G16">
        <v>3</v>
      </c>
      <c r="H16" t="s">
        <v>35</v>
      </c>
      <c r="I16" s="5" t="s">
        <v>118</v>
      </c>
      <c r="J16" s="5" t="s">
        <v>35</v>
      </c>
      <c r="K16" t="s">
        <v>22</v>
      </c>
      <c r="L16">
        <v>80</v>
      </c>
      <c r="M16">
        <v>300</v>
      </c>
      <c r="N16">
        <v>265</v>
      </c>
      <c r="O16">
        <v>315</v>
      </c>
      <c r="P16">
        <v>0.76</v>
      </c>
      <c r="Q16">
        <f t="shared" si="0"/>
        <v>3086.4679999999998</v>
      </c>
    </row>
    <row r="17" spans="1:17">
      <c r="A17" t="s">
        <v>2</v>
      </c>
      <c r="B17" t="s">
        <v>10</v>
      </c>
      <c r="C17" t="s">
        <v>11</v>
      </c>
      <c r="D17" t="s">
        <v>48</v>
      </c>
      <c r="E17" t="s">
        <v>30</v>
      </c>
      <c r="F17" t="s">
        <v>22</v>
      </c>
      <c r="G17">
        <v>3</v>
      </c>
      <c r="H17" t="s">
        <v>35</v>
      </c>
      <c r="I17" s="5" t="s">
        <v>118</v>
      </c>
      <c r="J17" s="5" t="s">
        <v>35</v>
      </c>
      <c r="K17" t="s">
        <v>22</v>
      </c>
      <c r="L17">
        <v>80</v>
      </c>
      <c r="M17">
        <v>300</v>
      </c>
      <c r="N17">
        <v>265</v>
      </c>
      <c r="O17">
        <v>315</v>
      </c>
      <c r="P17">
        <v>0.76</v>
      </c>
      <c r="Q17">
        <f t="shared" si="0"/>
        <v>3086.4679999999998</v>
      </c>
    </row>
    <row r="18" spans="1:17">
      <c r="A18" t="s">
        <v>2</v>
      </c>
      <c r="B18" t="s">
        <v>10</v>
      </c>
      <c r="C18" t="s">
        <v>11</v>
      </c>
      <c r="D18" t="s">
        <v>48</v>
      </c>
      <c r="E18" t="s">
        <v>30</v>
      </c>
      <c r="F18" t="s">
        <v>41</v>
      </c>
      <c r="G18">
        <v>3</v>
      </c>
      <c r="H18" t="s">
        <v>35</v>
      </c>
      <c r="I18" s="5" t="s">
        <v>118</v>
      </c>
      <c r="J18" s="5" t="s">
        <v>35</v>
      </c>
      <c r="K18" t="s">
        <v>22</v>
      </c>
      <c r="L18">
        <v>80</v>
      </c>
      <c r="M18">
        <v>300</v>
      </c>
      <c r="N18">
        <v>265</v>
      </c>
      <c r="O18">
        <v>315</v>
      </c>
      <c r="P18">
        <v>0.76</v>
      </c>
      <c r="Q18">
        <f t="shared" si="0"/>
        <v>3086.4679999999998</v>
      </c>
    </row>
    <row r="19" spans="1:17">
      <c r="A19" t="s">
        <v>2</v>
      </c>
      <c r="B19" t="s">
        <v>10</v>
      </c>
      <c r="C19" t="s">
        <v>11</v>
      </c>
      <c r="D19" t="s">
        <v>48</v>
      </c>
      <c r="E19" t="s">
        <v>30</v>
      </c>
      <c r="F19" t="s">
        <v>49</v>
      </c>
      <c r="G19">
        <v>3</v>
      </c>
      <c r="H19" t="s">
        <v>35</v>
      </c>
      <c r="I19" s="5" t="s">
        <v>118</v>
      </c>
      <c r="J19" s="5" t="s">
        <v>35</v>
      </c>
      <c r="K19" t="s">
        <v>22</v>
      </c>
      <c r="L19">
        <v>80</v>
      </c>
      <c r="M19">
        <v>300</v>
      </c>
      <c r="N19">
        <v>265</v>
      </c>
      <c r="O19">
        <v>315</v>
      </c>
      <c r="P19">
        <v>0.76</v>
      </c>
      <c r="Q19">
        <f t="shared" si="0"/>
        <v>3086.4679999999998</v>
      </c>
    </row>
    <row r="20" spans="1:17">
      <c r="A20" t="s">
        <v>2</v>
      </c>
      <c r="B20" t="s">
        <v>10</v>
      </c>
      <c r="C20" t="s">
        <v>11</v>
      </c>
      <c r="D20" t="s">
        <v>50</v>
      </c>
      <c r="E20" t="s">
        <v>30</v>
      </c>
      <c r="F20" t="s">
        <v>39</v>
      </c>
      <c r="G20">
        <v>3</v>
      </c>
      <c r="H20" t="s">
        <v>35</v>
      </c>
      <c r="I20" s="5" t="s">
        <v>118</v>
      </c>
      <c r="J20" s="5" t="s">
        <v>35</v>
      </c>
      <c r="K20" t="s">
        <v>22</v>
      </c>
      <c r="L20">
        <v>80</v>
      </c>
      <c r="M20">
        <v>300</v>
      </c>
      <c r="N20">
        <v>265</v>
      </c>
      <c r="O20">
        <v>315</v>
      </c>
      <c r="P20">
        <v>0.76</v>
      </c>
      <c r="Q20">
        <f t="shared" si="0"/>
        <v>3086.4679999999998</v>
      </c>
    </row>
    <row r="21" spans="1:17">
      <c r="A21" t="s">
        <v>2</v>
      </c>
      <c r="B21" t="s">
        <v>10</v>
      </c>
      <c r="C21" t="s">
        <v>11</v>
      </c>
      <c r="D21" t="s">
        <v>51</v>
      </c>
      <c r="E21" t="s">
        <v>30</v>
      </c>
      <c r="F21" t="s">
        <v>39</v>
      </c>
      <c r="G21">
        <v>3</v>
      </c>
      <c r="H21" t="s">
        <v>35</v>
      </c>
      <c r="I21" s="5" t="s">
        <v>118</v>
      </c>
      <c r="J21" s="5" t="s">
        <v>35</v>
      </c>
      <c r="K21" t="s">
        <v>22</v>
      </c>
      <c r="L21">
        <v>80</v>
      </c>
      <c r="M21">
        <v>300</v>
      </c>
      <c r="N21">
        <v>265</v>
      </c>
      <c r="O21">
        <v>315</v>
      </c>
      <c r="P21">
        <v>0.76</v>
      </c>
      <c r="Q21">
        <f t="shared" si="0"/>
        <v>3086.4679999999998</v>
      </c>
    </row>
    <row r="22" spans="1:17">
      <c r="A22" t="s">
        <v>2</v>
      </c>
      <c r="B22" t="s">
        <v>10</v>
      </c>
      <c r="C22" t="s">
        <v>11</v>
      </c>
      <c r="D22" t="s">
        <v>52</v>
      </c>
      <c r="E22" t="s">
        <v>30</v>
      </c>
      <c r="F22" t="s">
        <v>41</v>
      </c>
      <c r="G22">
        <v>3</v>
      </c>
      <c r="H22" t="s">
        <v>35</v>
      </c>
      <c r="I22" s="5" t="s">
        <v>118</v>
      </c>
      <c r="J22" s="5" t="s">
        <v>35</v>
      </c>
      <c r="K22" t="s">
        <v>22</v>
      </c>
      <c r="L22">
        <v>80</v>
      </c>
      <c r="M22">
        <v>300</v>
      </c>
      <c r="N22">
        <v>265</v>
      </c>
      <c r="O22">
        <v>315</v>
      </c>
      <c r="P22">
        <v>0.76</v>
      </c>
      <c r="Q22">
        <f t="shared" si="0"/>
        <v>3086.4679999999998</v>
      </c>
    </row>
    <row r="23" spans="1:17">
      <c r="A23" t="s">
        <v>2</v>
      </c>
      <c r="B23" t="s">
        <v>10</v>
      </c>
      <c r="C23" t="s">
        <v>11</v>
      </c>
      <c r="D23" t="s">
        <v>54</v>
      </c>
      <c r="E23" t="s">
        <v>30</v>
      </c>
      <c r="F23" t="s">
        <v>41</v>
      </c>
      <c r="G23">
        <v>3</v>
      </c>
      <c r="H23" t="s">
        <v>35</v>
      </c>
      <c r="I23" s="5" t="s">
        <v>118</v>
      </c>
      <c r="J23" s="5" t="s">
        <v>35</v>
      </c>
      <c r="K23" t="s">
        <v>22</v>
      </c>
      <c r="L23">
        <v>80</v>
      </c>
      <c r="M23">
        <v>300</v>
      </c>
      <c r="N23">
        <v>265</v>
      </c>
      <c r="O23">
        <v>315</v>
      </c>
      <c r="P23">
        <v>0.76</v>
      </c>
      <c r="Q23">
        <f t="shared" si="0"/>
        <v>3086.4679999999998</v>
      </c>
    </row>
    <row r="24" spans="1:17">
      <c r="A24" t="s">
        <v>2</v>
      </c>
      <c r="B24" t="s">
        <v>10</v>
      </c>
      <c r="C24" t="s">
        <v>11</v>
      </c>
      <c r="D24" t="s">
        <v>54</v>
      </c>
      <c r="E24" t="s">
        <v>30</v>
      </c>
      <c r="F24" t="s">
        <v>23</v>
      </c>
      <c r="G24">
        <v>3</v>
      </c>
      <c r="H24" t="s">
        <v>35</v>
      </c>
      <c r="I24" s="5" t="s">
        <v>118</v>
      </c>
      <c r="J24" s="5" t="s">
        <v>35</v>
      </c>
      <c r="K24" t="s">
        <v>22</v>
      </c>
      <c r="L24">
        <v>80</v>
      </c>
      <c r="M24">
        <v>300</v>
      </c>
      <c r="N24">
        <v>265</v>
      </c>
      <c r="O24">
        <v>315</v>
      </c>
      <c r="P24">
        <v>0.76</v>
      </c>
      <c r="Q24">
        <f t="shared" si="0"/>
        <v>3086.4679999999998</v>
      </c>
    </row>
    <row r="25" spans="1:17">
      <c r="A25" t="s">
        <v>2</v>
      </c>
      <c r="B25" t="s">
        <v>10</v>
      </c>
      <c r="C25" t="s">
        <v>11</v>
      </c>
      <c r="D25" t="s">
        <v>54</v>
      </c>
      <c r="E25" t="s">
        <v>30</v>
      </c>
      <c r="F25" t="s">
        <v>53</v>
      </c>
      <c r="G25">
        <v>3</v>
      </c>
      <c r="H25" t="s">
        <v>35</v>
      </c>
      <c r="I25" s="5" t="s">
        <v>118</v>
      </c>
      <c r="J25" s="5" t="s">
        <v>35</v>
      </c>
      <c r="K25" t="s">
        <v>22</v>
      </c>
      <c r="L25">
        <v>80</v>
      </c>
      <c r="M25">
        <v>300</v>
      </c>
      <c r="N25">
        <v>265</v>
      </c>
      <c r="O25">
        <v>315</v>
      </c>
      <c r="P25">
        <v>0.76</v>
      </c>
      <c r="Q25">
        <f t="shared" si="0"/>
        <v>3086.4679999999998</v>
      </c>
    </row>
    <row r="26" spans="1:17">
      <c r="A26" t="s">
        <v>2</v>
      </c>
      <c r="B26" t="s">
        <v>10</v>
      </c>
      <c r="C26" t="s">
        <v>11</v>
      </c>
      <c r="D26" t="s">
        <v>55</v>
      </c>
      <c r="E26" t="s">
        <v>30</v>
      </c>
      <c r="F26" t="s">
        <v>39</v>
      </c>
      <c r="G26">
        <v>3</v>
      </c>
      <c r="H26" t="s">
        <v>35</v>
      </c>
      <c r="I26" s="5" t="s">
        <v>118</v>
      </c>
      <c r="J26" s="5" t="s">
        <v>35</v>
      </c>
      <c r="K26" t="s">
        <v>22</v>
      </c>
      <c r="L26">
        <v>80</v>
      </c>
      <c r="M26">
        <v>300</v>
      </c>
      <c r="N26">
        <v>265</v>
      </c>
      <c r="O26">
        <v>315</v>
      </c>
      <c r="P26">
        <v>0.76</v>
      </c>
      <c r="Q26">
        <f t="shared" si="0"/>
        <v>3086.4679999999998</v>
      </c>
    </row>
    <row r="27" spans="1:17">
      <c r="A27" t="s">
        <v>2</v>
      </c>
      <c r="B27" t="s">
        <v>10</v>
      </c>
      <c r="C27" t="s">
        <v>11</v>
      </c>
      <c r="D27" t="s">
        <v>1</v>
      </c>
      <c r="E27" t="s">
        <v>30</v>
      </c>
      <c r="F27" t="s">
        <v>41</v>
      </c>
      <c r="G27">
        <v>3</v>
      </c>
      <c r="H27" t="s">
        <v>35</v>
      </c>
      <c r="I27" s="5" t="s">
        <v>118</v>
      </c>
      <c r="J27" s="5" t="s">
        <v>35</v>
      </c>
      <c r="K27" t="s">
        <v>22</v>
      </c>
      <c r="L27">
        <v>80</v>
      </c>
      <c r="M27">
        <v>300</v>
      </c>
      <c r="N27">
        <v>265</v>
      </c>
      <c r="O27">
        <v>315</v>
      </c>
      <c r="P27">
        <v>0.76</v>
      </c>
      <c r="Q27">
        <f t="shared" si="0"/>
        <v>3086.4679999999998</v>
      </c>
    </row>
    <row r="28" spans="1:17">
      <c r="A28" t="s">
        <v>2</v>
      </c>
      <c r="B28" t="s">
        <v>10</v>
      </c>
      <c r="C28" t="s">
        <v>11</v>
      </c>
      <c r="D28" t="s">
        <v>37</v>
      </c>
      <c r="E28" t="s">
        <v>56</v>
      </c>
      <c r="F28" t="s">
        <v>39</v>
      </c>
      <c r="G28">
        <v>3</v>
      </c>
      <c r="H28" t="s">
        <v>35</v>
      </c>
      <c r="I28" s="5" t="s">
        <v>118</v>
      </c>
      <c r="J28" s="5" t="s">
        <v>35</v>
      </c>
      <c r="K28" t="s">
        <v>22</v>
      </c>
      <c r="L28">
        <v>80</v>
      </c>
      <c r="M28">
        <v>320</v>
      </c>
      <c r="N28">
        <v>265</v>
      </c>
      <c r="O28">
        <v>315</v>
      </c>
      <c r="P28">
        <v>0.76</v>
      </c>
      <c r="Q28">
        <f t="shared" si="0"/>
        <v>3086.4679999999998</v>
      </c>
    </row>
    <row r="29" spans="1:17">
      <c r="A29" t="s">
        <v>2</v>
      </c>
      <c r="B29" t="s">
        <v>10</v>
      </c>
      <c r="C29" t="s">
        <v>11</v>
      </c>
      <c r="D29" t="s">
        <v>37</v>
      </c>
      <c r="E29" t="s">
        <v>56</v>
      </c>
      <c r="F29" t="s">
        <v>22</v>
      </c>
      <c r="G29">
        <v>3</v>
      </c>
      <c r="H29" t="s">
        <v>35</v>
      </c>
      <c r="I29" s="5" t="s">
        <v>118</v>
      </c>
      <c r="J29" s="5" t="s">
        <v>35</v>
      </c>
      <c r="K29" t="s">
        <v>22</v>
      </c>
      <c r="L29">
        <v>80</v>
      </c>
      <c r="M29">
        <v>320</v>
      </c>
      <c r="N29">
        <v>265</v>
      </c>
      <c r="O29">
        <v>315</v>
      </c>
      <c r="P29">
        <v>0.76</v>
      </c>
      <c r="Q29">
        <f t="shared" si="0"/>
        <v>3086.4679999999998</v>
      </c>
    </row>
    <row r="30" spans="1:17">
      <c r="A30" t="s">
        <v>2</v>
      </c>
      <c r="B30" t="s">
        <v>10</v>
      </c>
      <c r="C30" t="s">
        <v>11</v>
      </c>
      <c r="D30" t="s">
        <v>1</v>
      </c>
      <c r="E30" t="s">
        <v>31</v>
      </c>
      <c r="F30" t="s">
        <v>39</v>
      </c>
      <c r="G30">
        <v>3</v>
      </c>
      <c r="H30" t="s">
        <v>35</v>
      </c>
      <c r="I30" s="5" t="s">
        <v>118</v>
      </c>
      <c r="J30" s="5" t="s">
        <v>35</v>
      </c>
      <c r="K30" t="s">
        <v>22</v>
      </c>
      <c r="L30">
        <v>80</v>
      </c>
      <c r="M30">
        <v>350</v>
      </c>
      <c r="N30">
        <v>270</v>
      </c>
      <c r="O30">
        <v>315</v>
      </c>
      <c r="P30">
        <v>0.82</v>
      </c>
      <c r="Q30">
        <f>800*2.20462</f>
        <v>1763.6959999999999</v>
      </c>
    </row>
    <row r="31" spans="1:17">
      <c r="A31" t="s">
        <v>2</v>
      </c>
      <c r="B31" t="s">
        <v>10</v>
      </c>
      <c r="C31" t="s">
        <v>11</v>
      </c>
      <c r="D31" t="s">
        <v>106</v>
      </c>
      <c r="E31" t="s">
        <v>21</v>
      </c>
      <c r="F31" t="s">
        <v>39</v>
      </c>
      <c r="G31">
        <v>3</v>
      </c>
      <c r="H31" t="s">
        <v>35</v>
      </c>
      <c r="I31" s="5" t="s">
        <v>118</v>
      </c>
      <c r="J31" s="5" t="s">
        <v>35</v>
      </c>
      <c r="K31" t="s">
        <v>22</v>
      </c>
      <c r="L31">
        <v>80</v>
      </c>
      <c r="M31">
        <v>350</v>
      </c>
      <c r="N31">
        <v>265</v>
      </c>
      <c r="O31">
        <v>325</v>
      </c>
      <c r="P31">
        <v>0.84</v>
      </c>
      <c r="Q31">
        <f t="shared" ref="Q31:Q37" si="1">1000*2.20462</f>
        <v>2204.62</v>
      </c>
    </row>
    <row r="32" spans="1:17">
      <c r="A32" t="s">
        <v>2</v>
      </c>
      <c r="B32" t="s">
        <v>10</v>
      </c>
      <c r="C32" t="s">
        <v>11</v>
      </c>
      <c r="D32" t="s">
        <v>37</v>
      </c>
      <c r="E32" t="s">
        <v>21</v>
      </c>
      <c r="F32" t="s">
        <v>39</v>
      </c>
      <c r="G32">
        <v>3</v>
      </c>
      <c r="H32" t="s">
        <v>35</v>
      </c>
      <c r="I32" s="5" t="s">
        <v>118</v>
      </c>
      <c r="J32" s="5" t="s">
        <v>35</v>
      </c>
      <c r="K32" t="s">
        <v>22</v>
      </c>
      <c r="L32">
        <v>80</v>
      </c>
      <c r="M32">
        <v>350</v>
      </c>
      <c r="N32">
        <v>265</v>
      </c>
      <c r="O32">
        <v>325</v>
      </c>
      <c r="P32">
        <v>0.84</v>
      </c>
      <c r="Q32">
        <f t="shared" si="1"/>
        <v>2204.62</v>
      </c>
    </row>
    <row r="33" spans="1:17">
      <c r="A33" t="s">
        <v>2</v>
      </c>
      <c r="B33" t="s">
        <v>10</v>
      </c>
      <c r="C33" t="s">
        <v>11</v>
      </c>
      <c r="D33" t="s">
        <v>47</v>
      </c>
      <c r="E33" t="s">
        <v>21</v>
      </c>
      <c r="F33" t="s">
        <v>39</v>
      </c>
      <c r="G33">
        <v>3</v>
      </c>
      <c r="H33" t="s">
        <v>35</v>
      </c>
      <c r="I33" s="5" t="s">
        <v>118</v>
      </c>
      <c r="J33" s="5" t="s">
        <v>35</v>
      </c>
      <c r="K33" t="s">
        <v>22</v>
      </c>
      <c r="L33">
        <v>80</v>
      </c>
      <c r="M33">
        <v>350</v>
      </c>
      <c r="N33">
        <v>265</v>
      </c>
      <c r="O33">
        <v>325</v>
      </c>
      <c r="P33">
        <v>0.84</v>
      </c>
      <c r="Q33">
        <f t="shared" si="1"/>
        <v>2204.62</v>
      </c>
    </row>
    <row r="34" spans="1:17">
      <c r="A34" t="s">
        <v>2</v>
      </c>
      <c r="B34" t="s">
        <v>10</v>
      </c>
      <c r="C34" t="s">
        <v>11</v>
      </c>
      <c r="D34" t="s">
        <v>50</v>
      </c>
      <c r="E34" t="s">
        <v>21</v>
      </c>
      <c r="F34" t="s">
        <v>39</v>
      </c>
      <c r="G34">
        <v>3</v>
      </c>
      <c r="H34" t="s">
        <v>35</v>
      </c>
      <c r="I34" s="5" t="s">
        <v>118</v>
      </c>
      <c r="J34" s="5" t="s">
        <v>35</v>
      </c>
      <c r="K34" t="s">
        <v>22</v>
      </c>
      <c r="L34">
        <v>80</v>
      </c>
      <c r="M34">
        <v>350</v>
      </c>
      <c r="N34">
        <v>265</v>
      </c>
      <c r="O34">
        <v>325</v>
      </c>
      <c r="P34">
        <v>0.84</v>
      </c>
      <c r="Q34">
        <f t="shared" si="1"/>
        <v>2204.62</v>
      </c>
    </row>
    <row r="35" spans="1:17">
      <c r="A35" t="s">
        <v>2</v>
      </c>
      <c r="B35" t="s">
        <v>10</v>
      </c>
      <c r="C35" t="s">
        <v>11</v>
      </c>
      <c r="D35" t="s">
        <v>57</v>
      </c>
      <c r="E35" t="s">
        <v>21</v>
      </c>
      <c r="F35" t="s">
        <v>39</v>
      </c>
      <c r="G35">
        <v>3</v>
      </c>
      <c r="H35" t="s">
        <v>35</v>
      </c>
      <c r="I35" s="5" t="s">
        <v>118</v>
      </c>
      <c r="J35" s="5" t="s">
        <v>35</v>
      </c>
      <c r="K35" t="s">
        <v>22</v>
      </c>
      <c r="L35">
        <v>80</v>
      </c>
      <c r="M35">
        <v>350</v>
      </c>
      <c r="N35">
        <v>265</v>
      </c>
      <c r="O35">
        <v>325</v>
      </c>
      <c r="P35">
        <v>0.84</v>
      </c>
      <c r="Q35">
        <f t="shared" si="1"/>
        <v>2204.62</v>
      </c>
    </row>
    <row r="36" spans="1:17">
      <c r="A36" t="s">
        <v>2</v>
      </c>
      <c r="B36" t="s">
        <v>10</v>
      </c>
      <c r="C36" t="s">
        <v>11</v>
      </c>
      <c r="D36" t="s">
        <v>52</v>
      </c>
      <c r="E36" t="s">
        <v>21</v>
      </c>
      <c r="F36" t="s">
        <v>39</v>
      </c>
      <c r="G36">
        <v>3</v>
      </c>
      <c r="H36" t="s">
        <v>35</v>
      </c>
      <c r="I36" s="5" t="s">
        <v>118</v>
      </c>
      <c r="J36" s="5" t="s">
        <v>35</v>
      </c>
      <c r="K36" t="s">
        <v>22</v>
      </c>
      <c r="L36">
        <v>80</v>
      </c>
      <c r="M36">
        <v>350</v>
      </c>
      <c r="N36">
        <v>265</v>
      </c>
      <c r="O36">
        <v>325</v>
      </c>
      <c r="P36">
        <v>0.84</v>
      </c>
      <c r="Q36">
        <f t="shared" si="1"/>
        <v>2204.62</v>
      </c>
    </row>
    <row r="37" spans="1:17">
      <c r="A37" t="s">
        <v>2</v>
      </c>
      <c r="B37" t="s">
        <v>10</v>
      </c>
      <c r="C37" t="s">
        <v>11</v>
      </c>
      <c r="D37" t="s">
        <v>1</v>
      </c>
      <c r="E37" t="s">
        <v>21</v>
      </c>
      <c r="F37" t="s">
        <v>39</v>
      </c>
      <c r="G37">
        <v>3</v>
      </c>
      <c r="H37" t="s">
        <v>35</v>
      </c>
      <c r="I37" s="5" t="s">
        <v>118</v>
      </c>
      <c r="J37" s="5" t="s">
        <v>35</v>
      </c>
      <c r="K37" t="s">
        <v>22</v>
      </c>
      <c r="L37">
        <v>80</v>
      </c>
      <c r="M37">
        <v>350</v>
      </c>
      <c r="N37">
        <v>265</v>
      </c>
      <c r="O37">
        <v>325</v>
      </c>
      <c r="P37">
        <v>0.84</v>
      </c>
      <c r="Q37">
        <f t="shared" si="1"/>
        <v>2204.62</v>
      </c>
    </row>
    <row r="38" spans="1:17">
      <c r="A38" t="s">
        <v>2</v>
      </c>
      <c r="B38" t="s">
        <v>10</v>
      </c>
      <c r="C38" t="s">
        <v>11</v>
      </c>
      <c r="D38" t="s">
        <v>54</v>
      </c>
      <c r="E38" t="s">
        <v>10</v>
      </c>
      <c r="F38" t="s">
        <v>58</v>
      </c>
      <c r="G38">
        <v>3</v>
      </c>
      <c r="H38" t="s">
        <v>35</v>
      </c>
      <c r="I38" s="5" t="s">
        <v>118</v>
      </c>
      <c r="J38" s="5" t="s">
        <v>35</v>
      </c>
      <c r="K38" t="s">
        <v>22</v>
      </c>
      <c r="L38">
        <v>150</v>
      </c>
      <c r="M38">
        <v>300</v>
      </c>
      <c r="N38">
        <v>250</v>
      </c>
      <c r="O38">
        <v>290</v>
      </c>
      <c r="P38">
        <v>0.8</v>
      </c>
      <c r="Q38">
        <f>3600*2.20462</f>
        <v>7936.6319999999996</v>
      </c>
    </row>
    <row r="39" spans="1:17">
      <c r="A39" t="s">
        <v>2</v>
      </c>
      <c r="B39" t="s">
        <v>10</v>
      </c>
      <c r="C39" t="s">
        <v>11</v>
      </c>
      <c r="D39" t="s">
        <v>1</v>
      </c>
      <c r="E39" t="s">
        <v>33</v>
      </c>
      <c r="F39" t="s">
        <v>39</v>
      </c>
      <c r="G39">
        <v>3</v>
      </c>
      <c r="H39" t="s">
        <v>35</v>
      </c>
      <c r="I39" s="5" t="s">
        <v>118</v>
      </c>
      <c r="J39" s="5" t="s">
        <v>35</v>
      </c>
      <c r="K39" t="s">
        <v>22</v>
      </c>
      <c r="L39">
        <v>80</v>
      </c>
      <c r="M39">
        <v>280</v>
      </c>
      <c r="N39">
        <v>250</v>
      </c>
      <c r="O39">
        <v>300</v>
      </c>
      <c r="P39">
        <v>0.76</v>
      </c>
      <c r="Q39">
        <f>1900*2.20462</f>
        <v>4188.7779999999993</v>
      </c>
    </row>
    <row r="40" spans="1:17">
      <c r="A40" t="s">
        <v>2</v>
      </c>
      <c r="B40" t="s">
        <v>10</v>
      </c>
      <c r="C40" t="s">
        <v>11</v>
      </c>
      <c r="D40" t="s">
        <v>1</v>
      </c>
      <c r="E40" t="s">
        <v>28</v>
      </c>
      <c r="F40" t="s">
        <v>39</v>
      </c>
      <c r="G40">
        <v>3</v>
      </c>
      <c r="H40" t="s">
        <v>35</v>
      </c>
      <c r="I40" s="5" t="s">
        <v>118</v>
      </c>
      <c r="J40" s="5" t="s">
        <v>35</v>
      </c>
      <c r="K40" t="s">
        <v>22</v>
      </c>
      <c r="L40">
        <v>100</v>
      </c>
      <c r="M40">
        <v>270</v>
      </c>
      <c r="N40">
        <v>250</v>
      </c>
      <c r="O40">
        <v>270</v>
      </c>
      <c r="P40">
        <v>0.8</v>
      </c>
      <c r="Q40">
        <f>3600*2.20462</f>
        <v>7936.6319999999996</v>
      </c>
    </row>
    <row r="41" spans="1:17">
      <c r="A41" t="s">
        <v>2</v>
      </c>
      <c r="B41" t="s">
        <v>10</v>
      </c>
      <c r="C41" t="s">
        <v>11</v>
      </c>
      <c r="D41" t="s">
        <v>1</v>
      </c>
      <c r="E41" t="s">
        <v>29</v>
      </c>
      <c r="F41" t="s">
        <v>61</v>
      </c>
      <c r="G41">
        <v>2</v>
      </c>
      <c r="H41" t="s">
        <v>35</v>
      </c>
      <c r="I41" s="5" t="s">
        <v>118</v>
      </c>
      <c r="J41" s="5" t="s">
        <v>35</v>
      </c>
      <c r="K41" t="s">
        <v>22</v>
      </c>
      <c r="L41">
        <v>150</v>
      </c>
      <c r="M41">
        <v>300</v>
      </c>
      <c r="N41">
        <v>250</v>
      </c>
      <c r="O41">
        <v>290</v>
      </c>
      <c r="P41">
        <v>0.8</v>
      </c>
      <c r="Q41">
        <f>2800*2.20462</f>
        <v>6172.9359999999997</v>
      </c>
    </row>
    <row r="42" spans="1:17">
      <c r="A42" t="s">
        <v>2</v>
      </c>
      <c r="B42" t="s">
        <v>10</v>
      </c>
      <c r="C42" t="s">
        <v>11</v>
      </c>
      <c r="D42" t="s">
        <v>1</v>
      </c>
      <c r="E42" t="s">
        <v>0</v>
      </c>
      <c r="F42" t="s">
        <v>39</v>
      </c>
      <c r="G42">
        <v>3</v>
      </c>
      <c r="H42" t="s">
        <v>35</v>
      </c>
      <c r="I42" s="5" t="s">
        <v>118</v>
      </c>
      <c r="J42" s="5" t="s">
        <v>35</v>
      </c>
      <c r="K42" t="s">
        <v>22</v>
      </c>
      <c r="L42">
        <v>150</v>
      </c>
      <c r="M42">
        <v>280</v>
      </c>
      <c r="N42">
        <v>265</v>
      </c>
      <c r="O42">
        <v>285</v>
      </c>
      <c r="P42">
        <v>0.8</v>
      </c>
      <c r="Q42">
        <f>3600 *2.20462</f>
        <v>7936.6319999999996</v>
      </c>
    </row>
    <row r="43" spans="1:17">
      <c r="A43" t="s">
        <v>2</v>
      </c>
      <c r="B43" t="s">
        <v>10</v>
      </c>
      <c r="C43" t="s">
        <v>11</v>
      </c>
      <c r="D43" t="s">
        <v>34</v>
      </c>
      <c r="E43" t="s">
        <v>0</v>
      </c>
      <c r="F43" t="s">
        <v>39</v>
      </c>
      <c r="G43">
        <v>3</v>
      </c>
      <c r="H43" t="s">
        <v>35</v>
      </c>
      <c r="I43" s="5" t="s">
        <v>118</v>
      </c>
      <c r="J43" s="5" t="s">
        <v>35</v>
      </c>
      <c r="K43" t="s">
        <v>22</v>
      </c>
      <c r="L43">
        <v>150</v>
      </c>
      <c r="M43">
        <v>280</v>
      </c>
      <c r="N43">
        <v>265</v>
      </c>
      <c r="O43">
        <v>285</v>
      </c>
      <c r="P43">
        <v>0.8</v>
      </c>
      <c r="Q43">
        <f>3600 *2.20462</f>
        <v>7936.6319999999996</v>
      </c>
    </row>
    <row r="44" spans="1:17">
      <c r="A44" t="s">
        <v>63</v>
      </c>
      <c r="B44" t="s">
        <v>62</v>
      </c>
      <c r="C44" t="s">
        <v>22</v>
      </c>
      <c r="D44" t="s">
        <v>2</v>
      </c>
      <c r="E44" t="s">
        <v>0</v>
      </c>
      <c r="F44" t="s">
        <v>39</v>
      </c>
      <c r="G44" t="s">
        <v>35</v>
      </c>
      <c r="H44">
        <v>3</v>
      </c>
      <c r="I44" s="5" t="s">
        <v>35</v>
      </c>
      <c r="J44" s="5" t="s">
        <v>118</v>
      </c>
      <c r="K44" t="s">
        <v>22</v>
      </c>
      <c r="L44">
        <v>120</v>
      </c>
      <c r="M44">
        <v>310</v>
      </c>
      <c r="N44">
        <v>275</v>
      </c>
      <c r="O44">
        <v>290</v>
      </c>
    </row>
    <row r="45" spans="1:17">
      <c r="A45" t="s">
        <v>2</v>
      </c>
      <c r="B45" t="s">
        <v>10</v>
      </c>
      <c r="C45" t="s">
        <v>11</v>
      </c>
      <c r="D45" t="s">
        <v>1</v>
      </c>
      <c r="E45" t="s">
        <v>32</v>
      </c>
      <c r="F45" t="s">
        <v>70</v>
      </c>
      <c r="G45">
        <v>3</v>
      </c>
      <c r="H45" t="s">
        <v>35</v>
      </c>
      <c r="I45" s="5" t="s">
        <v>118</v>
      </c>
      <c r="J45" s="5" t="s">
        <v>35</v>
      </c>
      <c r="K45" t="s">
        <v>60</v>
      </c>
      <c r="L45">
        <v>150</v>
      </c>
      <c r="M45">
        <v>350</v>
      </c>
      <c r="N45">
        <v>250</v>
      </c>
      <c r="O45">
        <v>300</v>
      </c>
      <c r="P45">
        <v>0.8</v>
      </c>
      <c r="Q45">
        <f t="shared" ref="Q45:Q50" si="2">1100*2.20462</f>
        <v>2425.0819999999999</v>
      </c>
    </row>
    <row r="46" spans="1:17">
      <c r="A46" t="s">
        <v>2</v>
      </c>
      <c r="B46" t="s">
        <v>10</v>
      </c>
      <c r="C46" t="s">
        <v>11</v>
      </c>
      <c r="D46" t="s">
        <v>1</v>
      </c>
      <c r="E46" t="s">
        <v>32</v>
      </c>
      <c r="F46" t="s">
        <v>71</v>
      </c>
      <c r="G46">
        <v>3</v>
      </c>
      <c r="H46" t="s">
        <v>35</v>
      </c>
      <c r="I46" s="5" t="s">
        <v>118</v>
      </c>
      <c r="J46" s="5" t="s">
        <v>35</v>
      </c>
      <c r="K46" t="s">
        <v>60</v>
      </c>
      <c r="L46">
        <v>150</v>
      </c>
      <c r="M46">
        <v>350</v>
      </c>
      <c r="N46">
        <v>250</v>
      </c>
      <c r="O46">
        <v>300</v>
      </c>
      <c r="P46">
        <v>0.8</v>
      </c>
      <c r="Q46">
        <f t="shared" si="2"/>
        <v>2425.0819999999999</v>
      </c>
    </row>
    <row r="47" spans="1:17">
      <c r="A47" t="s">
        <v>2</v>
      </c>
      <c r="B47" t="s">
        <v>10</v>
      </c>
      <c r="C47" t="s">
        <v>11</v>
      </c>
      <c r="D47" t="s">
        <v>1</v>
      </c>
      <c r="E47" t="s">
        <v>20</v>
      </c>
      <c r="F47" t="s">
        <v>40</v>
      </c>
      <c r="G47">
        <v>3</v>
      </c>
      <c r="H47" t="s">
        <v>35</v>
      </c>
      <c r="I47" s="5" t="s">
        <v>118</v>
      </c>
      <c r="J47" s="5" t="s">
        <v>35</v>
      </c>
      <c r="K47" t="s">
        <v>60</v>
      </c>
      <c r="L47">
        <v>150</v>
      </c>
      <c r="M47">
        <v>350</v>
      </c>
      <c r="N47">
        <v>250</v>
      </c>
      <c r="O47">
        <v>300</v>
      </c>
      <c r="P47">
        <v>0.8</v>
      </c>
      <c r="Q47">
        <f t="shared" si="2"/>
        <v>2425.0819999999999</v>
      </c>
    </row>
    <row r="48" spans="1:17">
      <c r="A48" t="s">
        <v>2</v>
      </c>
      <c r="B48" t="s">
        <v>10</v>
      </c>
      <c r="C48" t="s">
        <v>11</v>
      </c>
      <c r="D48" t="s">
        <v>1</v>
      </c>
      <c r="E48" t="s">
        <v>32</v>
      </c>
      <c r="F48" t="s">
        <v>39</v>
      </c>
      <c r="G48">
        <v>3</v>
      </c>
      <c r="H48" t="s">
        <v>35</v>
      </c>
      <c r="I48" s="5" t="s">
        <v>118</v>
      </c>
      <c r="J48" s="5" t="s">
        <v>35</v>
      </c>
      <c r="K48" t="s">
        <v>60</v>
      </c>
      <c r="L48">
        <v>150</v>
      </c>
      <c r="M48">
        <v>350</v>
      </c>
      <c r="N48">
        <v>250</v>
      </c>
      <c r="O48">
        <v>300</v>
      </c>
      <c r="P48">
        <v>0.8</v>
      </c>
      <c r="Q48">
        <f t="shared" si="2"/>
        <v>2425.0819999999999</v>
      </c>
    </row>
    <row r="49" spans="1:17">
      <c r="A49" t="s">
        <v>2</v>
      </c>
      <c r="B49" t="s">
        <v>10</v>
      </c>
      <c r="C49" t="s">
        <v>11</v>
      </c>
      <c r="D49" t="s">
        <v>1</v>
      </c>
      <c r="E49" t="s">
        <v>32</v>
      </c>
      <c r="F49" t="s">
        <v>41</v>
      </c>
      <c r="G49">
        <v>3</v>
      </c>
      <c r="H49" t="s">
        <v>35</v>
      </c>
      <c r="I49" s="5" t="s">
        <v>118</v>
      </c>
      <c r="J49" s="5" t="s">
        <v>35</v>
      </c>
      <c r="K49" t="s">
        <v>60</v>
      </c>
      <c r="L49">
        <v>150</v>
      </c>
      <c r="M49">
        <v>350</v>
      </c>
      <c r="N49">
        <v>250</v>
      </c>
      <c r="O49">
        <v>300</v>
      </c>
      <c r="P49">
        <v>0.8</v>
      </c>
      <c r="Q49">
        <f t="shared" si="2"/>
        <v>2425.0819999999999</v>
      </c>
    </row>
    <row r="50" spans="1:17">
      <c r="A50" t="s">
        <v>2</v>
      </c>
      <c r="B50" t="s">
        <v>10</v>
      </c>
      <c r="C50" t="s">
        <v>11</v>
      </c>
      <c r="D50" t="s">
        <v>1</v>
      </c>
      <c r="E50" t="s">
        <v>32</v>
      </c>
      <c r="F50" t="s">
        <v>23</v>
      </c>
      <c r="G50">
        <v>3</v>
      </c>
      <c r="H50" t="s">
        <v>35</v>
      </c>
      <c r="I50" s="5" t="s">
        <v>118</v>
      </c>
      <c r="J50" s="5" t="s">
        <v>35</v>
      </c>
      <c r="K50" t="s">
        <v>60</v>
      </c>
      <c r="L50">
        <v>150</v>
      </c>
      <c r="M50">
        <v>350</v>
      </c>
      <c r="N50">
        <v>250</v>
      </c>
      <c r="O50">
        <v>300</v>
      </c>
      <c r="P50">
        <v>0.8</v>
      </c>
      <c r="Q50">
        <f t="shared" si="2"/>
        <v>2425.0819999999999</v>
      </c>
    </row>
    <row r="51" spans="1:17">
      <c r="A51" t="s">
        <v>2</v>
      </c>
      <c r="B51" t="s">
        <v>10</v>
      </c>
      <c r="C51" t="s">
        <v>11</v>
      </c>
      <c r="D51" t="s">
        <v>66</v>
      </c>
      <c r="E51" t="s">
        <v>72</v>
      </c>
      <c r="F51" t="s">
        <v>39</v>
      </c>
      <c r="G51">
        <v>3</v>
      </c>
      <c r="H51" t="s">
        <v>35</v>
      </c>
      <c r="I51" s="5" t="s">
        <v>118</v>
      </c>
      <c r="J51" s="5" t="s">
        <v>35</v>
      </c>
      <c r="K51" t="s">
        <v>60</v>
      </c>
      <c r="L51">
        <v>150</v>
      </c>
      <c r="M51">
        <v>350</v>
      </c>
      <c r="N51">
        <v>250</v>
      </c>
      <c r="O51">
        <v>300</v>
      </c>
      <c r="P51">
        <v>0.8</v>
      </c>
      <c r="Q51">
        <f t="shared" ref="Q51:Q55" si="3">1100*2.20462</f>
        <v>2425.0819999999999</v>
      </c>
    </row>
    <row r="52" spans="1:17">
      <c r="A52" t="s">
        <v>2</v>
      </c>
      <c r="B52" t="s">
        <v>10</v>
      </c>
      <c r="C52" t="s">
        <v>11</v>
      </c>
      <c r="D52" t="s">
        <v>66</v>
      </c>
      <c r="E52" t="s">
        <v>72</v>
      </c>
      <c r="F52" t="s">
        <v>22</v>
      </c>
      <c r="G52">
        <v>3</v>
      </c>
      <c r="H52" t="s">
        <v>35</v>
      </c>
      <c r="I52" s="5" t="s">
        <v>118</v>
      </c>
      <c r="J52" s="5" t="s">
        <v>35</v>
      </c>
      <c r="K52" t="s">
        <v>60</v>
      </c>
      <c r="L52">
        <v>150</v>
      </c>
      <c r="M52">
        <v>350</v>
      </c>
      <c r="N52">
        <v>250</v>
      </c>
      <c r="O52">
        <v>300</v>
      </c>
      <c r="P52">
        <v>0.8</v>
      </c>
      <c r="Q52">
        <f t="shared" si="3"/>
        <v>2425.0819999999999</v>
      </c>
    </row>
    <row r="53" spans="1:17">
      <c r="A53" t="s">
        <v>2</v>
      </c>
      <c r="B53" t="s">
        <v>10</v>
      </c>
      <c r="C53" t="s">
        <v>11</v>
      </c>
      <c r="D53" t="s">
        <v>67</v>
      </c>
      <c r="E53" t="s">
        <v>32</v>
      </c>
      <c r="F53" t="s">
        <v>23</v>
      </c>
      <c r="G53">
        <v>3</v>
      </c>
      <c r="H53" t="s">
        <v>35</v>
      </c>
      <c r="I53" s="5" t="s">
        <v>118</v>
      </c>
      <c r="J53" s="5" t="s">
        <v>35</v>
      </c>
      <c r="K53" t="s">
        <v>60</v>
      </c>
      <c r="L53">
        <v>150</v>
      </c>
      <c r="M53">
        <v>350</v>
      </c>
      <c r="N53">
        <v>250</v>
      </c>
      <c r="O53">
        <v>300</v>
      </c>
      <c r="P53">
        <v>0.8</v>
      </c>
      <c r="Q53">
        <f t="shared" si="3"/>
        <v>2425.0819999999999</v>
      </c>
    </row>
    <row r="54" spans="1:17">
      <c r="A54" t="s">
        <v>2</v>
      </c>
      <c r="B54" t="s">
        <v>10</v>
      </c>
      <c r="C54" t="s">
        <v>11</v>
      </c>
      <c r="D54" t="s">
        <v>68</v>
      </c>
      <c r="E54" t="s">
        <v>32</v>
      </c>
      <c r="F54" t="s">
        <v>41</v>
      </c>
      <c r="G54">
        <v>3</v>
      </c>
      <c r="H54" t="s">
        <v>35</v>
      </c>
      <c r="I54" s="5" t="s">
        <v>118</v>
      </c>
      <c r="J54" s="5" t="s">
        <v>35</v>
      </c>
      <c r="K54" t="s">
        <v>60</v>
      </c>
      <c r="L54">
        <v>150</v>
      </c>
      <c r="M54">
        <v>350</v>
      </c>
      <c r="N54">
        <v>250</v>
      </c>
      <c r="O54">
        <v>300</v>
      </c>
      <c r="P54">
        <v>0.8</v>
      </c>
      <c r="Q54">
        <f t="shared" si="3"/>
        <v>2425.0819999999999</v>
      </c>
    </row>
    <row r="55" spans="1:17">
      <c r="A55" t="s">
        <v>2</v>
      </c>
      <c r="B55" t="s">
        <v>10</v>
      </c>
      <c r="C55" t="s">
        <v>11</v>
      </c>
      <c r="D55" t="s">
        <v>68</v>
      </c>
      <c r="E55" t="s">
        <v>32</v>
      </c>
      <c r="F55" t="s">
        <v>23</v>
      </c>
      <c r="G55">
        <v>3</v>
      </c>
      <c r="H55" t="s">
        <v>35</v>
      </c>
      <c r="I55" s="5" t="s">
        <v>118</v>
      </c>
      <c r="J55" s="5" t="s">
        <v>35</v>
      </c>
      <c r="K55" t="s">
        <v>60</v>
      </c>
      <c r="L55">
        <v>150</v>
      </c>
      <c r="M55">
        <v>350</v>
      </c>
      <c r="N55">
        <v>250</v>
      </c>
      <c r="O55">
        <v>300</v>
      </c>
      <c r="P55">
        <v>0.8</v>
      </c>
      <c r="Q55">
        <f t="shared" si="3"/>
        <v>2425.0819999999999</v>
      </c>
    </row>
    <row r="56" spans="1:17">
      <c r="A56" t="s">
        <v>2</v>
      </c>
      <c r="B56" t="s">
        <v>10</v>
      </c>
      <c r="C56" t="s">
        <v>11</v>
      </c>
      <c r="D56" t="s">
        <v>69</v>
      </c>
      <c r="E56" t="s">
        <v>73</v>
      </c>
      <c r="F56" t="s">
        <v>39</v>
      </c>
      <c r="G56">
        <v>3</v>
      </c>
      <c r="H56" t="s">
        <v>35</v>
      </c>
      <c r="I56" s="5" t="s">
        <v>118</v>
      </c>
      <c r="J56" s="5" t="s">
        <v>35</v>
      </c>
      <c r="K56" t="s">
        <v>60</v>
      </c>
      <c r="L56">
        <v>150</v>
      </c>
      <c r="M56">
        <v>350</v>
      </c>
      <c r="N56">
        <v>250</v>
      </c>
      <c r="O56">
        <v>300</v>
      </c>
      <c r="P56">
        <v>0.8</v>
      </c>
      <c r="Q56">
        <f t="shared" ref="Q56:Q61" si="4">1100*2.20462</f>
        <v>2425.0819999999999</v>
      </c>
    </row>
    <row r="57" spans="1:17">
      <c r="A57" t="s">
        <v>2</v>
      </c>
      <c r="B57" t="s">
        <v>10</v>
      </c>
      <c r="C57" t="s">
        <v>11</v>
      </c>
      <c r="D57" t="s">
        <v>69</v>
      </c>
      <c r="E57" t="s">
        <v>73</v>
      </c>
      <c r="F57" t="s">
        <v>22</v>
      </c>
      <c r="G57">
        <v>3</v>
      </c>
      <c r="H57" t="s">
        <v>35</v>
      </c>
      <c r="I57" s="5" t="s">
        <v>118</v>
      </c>
      <c r="J57" s="5" t="s">
        <v>35</v>
      </c>
      <c r="K57" t="s">
        <v>60</v>
      </c>
      <c r="L57">
        <v>150</v>
      </c>
      <c r="M57">
        <v>350</v>
      </c>
      <c r="N57">
        <v>250</v>
      </c>
      <c r="O57">
        <v>300</v>
      </c>
      <c r="P57">
        <v>0.8</v>
      </c>
      <c r="Q57">
        <f t="shared" si="4"/>
        <v>2425.0819999999999</v>
      </c>
    </row>
    <row r="58" spans="1:17">
      <c r="A58" t="s">
        <v>2</v>
      </c>
      <c r="B58" t="s">
        <v>10</v>
      </c>
      <c r="C58" t="s">
        <v>11</v>
      </c>
      <c r="D58" t="s">
        <v>78</v>
      </c>
      <c r="E58" t="s">
        <v>74</v>
      </c>
      <c r="F58" t="s">
        <v>75</v>
      </c>
      <c r="G58">
        <v>3</v>
      </c>
      <c r="H58" t="s">
        <v>35</v>
      </c>
      <c r="I58" s="5" t="s">
        <v>118</v>
      </c>
      <c r="J58" s="5" t="s">
        <v>35</v>
      </c>
      <c r="K58" t="s">
        <v>60</v>
      </c>
      <c r="L58">
        <v>20</v>
      </c>
      <c r="M58">
        <v>350</v>
      </c>
      <c r="N58">
        <v>260</v>
      </c>
      <c r="O58">
        <v>325</v>
      </c>
      <c r="Q58">
        <f t="shared" si="4"/>
        <v>2425.0819999999999</v>
      </c>
    </row>
    <row r="59" spans="1:17">
      <c r="A59" t="s">
        <v>2</v>
      </c>
      <c r="B59" t="s">
        <v>10</v>
      </c>
      <c r="C59" t="s">
        <v>11</v>
      </c>
      <c r="D59" t="s">
        <v>76</v>
      </c>
      <c r="E59" t="s">
        <v>74</v>
      </c>
      <c r="F59" t="s">
        <v>74</v>
      </c>
      <c r="G59">
        <v>3</v>
      </c>
      <c r="H59" t="s">
        <v>35</v>
      </c>
      <c r="I59" s="5" t="s">
        <v>118</v>
      </c>
      <c r="J59" s="5" t="s">
        <v>35</v>
      </c>
      <c r="K59" t="s">
        <v>60</v>
      </c>
      <c r="L59">
        <v>20</v>
      </c>
      <c r="M59">
        <v>350</v>
      </c>
      <c r="N59">
        <v>260</v>
      </c>
      <c r="O59">
        <v>325</v>
      </c>
      <c r="Q59">
        <f t="shared" si="4"/>
        <v>2425.0819999999999</v>
      </c>
    </row>
    <row r="60" spans="1:17">
      <c r="A60" t="s">
        <v>2</v>
      </c>
      <c r="B60" t="s">
        <v>10</v>
      </c>
      <c r="C60" t="s">
        <v>11</v>
      </c>
      <c r="D60" t="s">
        <v>69</v>
      </c>
      <c r="E60" t="s">
        <v>74</v>
      </c>
      <c r="F60" t="s">
        <v>74</v>
      </c>
      <c r="G60">
        <v>3</v>
      </c>
      <c r="H60" t="s">
        <v>35</v>
      </c>
      <c r="I60" s="5" t="s">
        <v>118</v>
      </c>
      <c r="J60" s="5" t="s">
        <v>35</v>
      </c>
      <c r="K60" t="s">
        <v>60</v>
      </c>
      <c r="L60">
        <v>20</v>
      </c>
      <c r="M60">
        <v>350</v>
      </c>
      <c r="N60">
        <v>260</v>
      </c>
      <c r="O60">
        <v>325</v>
      </c>
      <c r="Q60">
        <f t="shared" si="4"/>
        <v>2425.0819999999999</v>
      </c>
    </row>
    <row r="61" spans="1:17">
      <c r="A61" t="s">
        <v>2</v>
      </c>
      <c r="B61" t="s">
        <v>10</v>
      </c>
      <c r="C61" t="s">
        <v>11</v>
      </c>
      <c r="D61" t="s">
        <v>106</v>
      </c>
      <c r="E61" t="s">
        <v>74</v>
      </c>
      <c r="F61" t="s">
        <v>77</v>
      </c>
      <c r="G61">
        <v>3</v>
      </c>
      <c r="H61" t="s">
        <v>35</v>
      </c>
      <c r="I61" s="5" t="s">
        <v>118</v>
      </c>
      <c r="J61" s="5" t="s">
        <v>35</v>
      </c>
      <c r="K61" t="s">
        <v>60</v>
      </c>
      <c r="L61">
        <v>20</v>
      </c>
      <c r="M61">
        <v>350</v>
      </c>
      <c r="N61">
        <v>260</v>
      </c>
      <c r="O61">
        <v>325</v>
      </c>
      <c r="Q61">
        <f t="shared" si="4"/>
        <v>2425.0819999999999</v>
      </c>
    </row>
    <row r="62" spans="1:17">
      <c r="A62" t="s">
        <v>2</v>
      </c>
      <c r="B62" t="s">
        <v>10</v>
      </c>
      <c r="C62" t="s">
        <v>11</v>
      </c>
      <c r="D62" t="s">
        <v>106</v>
      </c>
      <c r="E62" t="s">
        <v>21</v>
      </c>
      <c r="F62" t="s">
        <v>22</v>
      </c>
      <c r="G62">
        <v>3</v>
      </c>
      <c r="H62" t="s">
        <v>35</v>
      </c>
      <c r="I62" s="5" t="s">
        <v>118</v>
      </c>
      <c r="J62" s="5" t="s">
        <v>35</v>
      </c>
      <c r="K62" t="s">
        <v>60</v>
      </c>
      <c r="L62">
        <v>150</v>
      </c>
      <c r="M62">
        <v>350</v>
      </c>
      <c r="N62">
        <v>260</v>
      </c>
      <c r="O62">
        <v>300</v>
      </c>
      <c r="Q62">
        <f>900*2.20462</f>
        <v>1984.1579999999999</v>
      </c>
    </row>
    <row r="63" spans="1:17">
      <c r="A63" t="s">
        <v>2</v>
      </c>
      <c r="B63" t="s">
        <v>10</v>
      </c>
      <c r="C63" t="s">
        <v>11</v>
      </c>
      <c r="D63" t="s">
        <v>78</v>
      </c>
      <c r="E63" t="s">
        <v>21</v>
      </c>
      <c r="F63" t="s">
        <v>22</v>
      </c>
      <c r="G63">
        <v>3</v>
      </c>
      <c r="H63" t="s">
        <v>35</v>
      </c>
      <c r="I63" s="5" t="s">
        <v>118</v>
      </c>
      <c r="J63" s="5" t="s">
        <v>35</v>
      </c>
      <c r="K63" t="s">
        <v>60</v>
      </c>
      <c r="L63">
        <v>150</v>
      </c>
      <c r="M63">
        <v>350</v>
      </c>
      <c r="N63">
        <v>260</v>
      </c>
      <c r="O63">
        <v>300</v>
      </c>
      <c r="Q63">
        <f t="shared" ref="Q63:Q67" si="5">900*2.20462</f>
        <v>1984.1579999999999</v>
      </c>
    </row>
    <row r="64" spans="1:17">
      <c r="A64" t="s">
        <v>2</v>
      </c>
      <c r="B64" t="s">
        <v>10</v>
      </c>
      <c r="C64" t="s">
        <v>11</v>
      </c>
      <c r="D64" t="s">
        <v>52</v>
      </c>
      <c r="E64" t="s">
        <v>21</v>
      </c>
      <c r="F64" t="s">
        <v>22</v>
      </c>
      <c r="G64">
        <v>3</v>
      </c>
      <c r="H64" t="s">
        <v>35</v>
      </c>
      <c r="I64" s="5" t="s">
        <v>118</v>
      </c>
      <c r="J64" s="5" t="s">
        <v>35</v>
      </c>
      <c r="K64" t="s">
        <v>60</v>
      </c>
      <c r="L64">
        <v>150</v>
      </c>
      <c r="M64">
        <v>350</v>
      </c>
      <c r="N64">
        <v>260</v>
      </c>
      <c r="O64">
        <v>300</v>
      </c>
      <c r="Q64">
        <f t="shared" si="5"/>
        <v>1984.1579999999999</v>
      </c>
    </row>
    <row r="65" spans="1:18">
      <c r="A65" t="s">
        <v>2</v>
      </c>
      <c r="B65" t="s">
        <v>10</v>
      </c>
      <c r="C65" t="s">
        <v>11</v>
      </c>
      <c r="D65" t="s">
        <v>1</v>
      </c>
      <c r="E65" t="s">
        <v>21</v>
      </c>
      <c r="F65" t="s">
        <v>22</v>
      </c>
      <c r="G65">
        <v>3</v>
      </c>
      <c r="H65" t="s">
        <v>35</v>
      </c>
      <c r="I65" s="5" t="s">
        <v>118</v>
      </c>
      <c r="J65" s="5" t="s">
        <v>35</v>
      </c>
      <c r="K65" t="s">
        <v>60</v>
      </c>
      <c r="L65">
        <v>150</v>
      </c>
      <c r="M65">
        <v>350</v>
      </c>
      <c r="N65">
        <v>260</v>
      </c>
      <c r="O65">
        <v>300</v>
      </c>
      <c r="Q65">
        <f t="shared" si="5"/>
        <v>1984.1579999999999</v>
      </c>
    </row>
    <row r="66" spans="1:18">
      <c r="A66" t="s">
        <v>2</v>
      </c>
      <c r="B66" t="s">
        <v>10</v>
      </c>
      <c r="C66" t="s">
        <v>11</v>
      </c>
      <c r="D66" t="s">
        <v>37</v>
      </c>
      <c r="E66" t="s">
        <v>21</v>
      </c>
      <c r="F66" t="s">
        <v>22</v>
      </c>
      <c r="G66">
        <v>3</v>
      </c>
      <c r="H66" t="s">
        <v>35</v>
      </c>
      <c r="I66" s="5" t="s">
        <v>118</v>
      </c>
      <c r="J66" s="5" t="s">
        <v>35</v>
      </c>
      <c r="K66" t="s">
        <v>60</v>
      </c>
      <c r="L66">
        <v>150</v>
      </c>
      <c r="M66">
        <v>350</v>
      </c>
      <c r="N66">
        <v>260</v>
      </c>
      <c r="O66">
        <v>300</v>
      </c>
      <c r="Q66">
        <f t="shared" si="5"/>
        <v>1984.1579999999999</v>
      </c>
    </row>
    <row r="67" spans="1:18">
      <c r="A67" t="s">
        <v>2</v>
      </c>
      <c r="B67" t="s">
        <v>10</v>
      </c>
      <c r="C67" t="s">
        <v>11</v>
      </c>
      <c r="D67" t="s">
        <v>1</v>
      </c>
      <c r="E67" t="s">
        <v>21</v>
      </c>
      <c r="F67" t="s">
        <v>41</v>
      </c>
      <c r="G67">
        <v>3</v>
      </c>
      <c r="H67" t="s">
        <v>35</v>
      </c>
      <c r="I67" s="5" t="s">
        <v>118</v>
      </c>
      <c r="J67" s="5" t="s">
        <v>35</v>
      </c>
      <c r="K67" t="s">
        <v>60</v>
      </c>
      <c r="L67">
        <v>150</v>
      </c>
      <c r="M67">
        <v>350</v>
      </c>
      <c r="N67">
        <v>260</v>
      </c>
      <c r="O67">
        <v>300</v>
      </c>
      <c r="Q67">
        <f t="shared" si="5"/>
        <v>1984.1579999999999</v>
      </c>
    </row>
    <row r="68" spans="1:18">
      <c r="A68" t="s">
        <v>2</v>
      </c>
      <c r="B68" t="s">
        <v>10</v>
      </c>
      <c r="C68" t="s">
        <v>11</v>
      </c>
      <c r="D68" t="s">
        <v>79</v>
      </c>
      <c r="E68" t="s">
        <v>80</v>
      </c>
      <c r="F68" t="s">
        <v>41</v>
      </c>
      <c r="G68">
        <v>3</v>
      </c>
      <c r="H68" t="s">
        <v>35</v>
      </c>
      <c r="I68" s="5" t="s">
        <v>118</v>
      </c>
      <c r="J68" s="5" t="s">
        <v>35</v>
      </c>
      <c r="K68" t="s">
        <v>60</v>
      </c>
      <c r="L68">
        <v>50</v>
      </c>
      <c r="M68">
        <v>330</v>
      </c>
      <c r="N68">
        <v>260</v>
      </c>
      <c r="O68">
        <v>325</v>
      </c>
      <c r="Q68">
        <f>890*2.20462</f>
        <v>1962.1117999999999</v>
      </c>
    </row>
    <row r="69" spans="1:18">
      <c r="A69" t="s">
        <v>2</v>
      </c>
      <c r="B69" t="s">
        <v>10</v>
      </c>
      <c r="C69" t="s">
        <v>11</v>
      </c>
      <c r="D69" t="s">
        <v>55</v>
      </c>
      <c r="E69" t="s">
        <v>80</v>
      </c>
      <c r="F69" t="s">
        <v>41</v>
      </c>
      <c r="G69">
        <v>3</v>
      </c>
      <c r="H69" t="s">
        <v>35</v>
      </c>
      <c r="I69" s="5" t="s">
        <v>118</v>
      </c>
      <c r="J69" s="5" t="s">
        <v>35</v>
      </c>
      <c r="K69" t="s">
        <v>60</v>
      </c>
      <c r="L69">
        <v>50</v>
      </c>
      <c r="M69">
        <v>330</v>
      </c>
      <c r="N69">
        <v>260</v>
      </c>
      <c r="O69">
        <v>325</v>
      </c>
      <c r="Q69">
        <f t="shared" ref="Q69:Q71" si="6">890*2.20462</f>
        <v>1962.1117999999999</v>
      </c>
    </row>
    <row r="70" spans="1:18">
      <c r="A70" t="s">
        <v>2</v>
      </c>
      <c r="B70" t="s">
        <v>10</v>
      </c>
      <c r="C70" t="s">
        <v>11</v>
      </c>
      <c r="D70" t="s">
        <v>79</v>
      </c>
      <c r="E70" t="s">
        <v>80</v>
      </c>
      <c r="F70" t="s">
        <v>23</v>
      </c>
      <c r="G70">
        <v>3</v>
      </c>
      <c r="H70" t="s">
        <v>35</v>
      </c>
      <c r="I70" s="5" t="s">
        <v>118</v>
      </c>
      <c r="J70" s="5" t="s">
        <v>35</v>
      </c>
      <c r="K70" t="s">
        <v>60</v>
      </c>
      <c r="L70">
        <v>50</v>
      </c>
      <c r="M70">
        <v>330</v>
      </c>
      <c r="N70">
        <v>260</v>
      </c>
      <c r="O70">
        <v>325</v>
      </c>
      <c r="Q70">
        <f t="shared" si="6"/>
        <v>1962.1117999999999</v>
      </c>
    </row>
    <row r="71" spans="1:18">
      <c r="A71" t="s">
        <v>2</v>
      </c>
      <c r="B71" t="s">
        <v>10</v>
      </c>
      <c r="C71" t="s">
        <v>11</v>
      </c>
      <c r="D71" t="s">
        <v>55</v>
      </c>
      <c r="E71" t="s">
        <v>80</v>
      </c>
      <c r="F71" t="s">
        <v>23</v>
      </c>
      <c r="G71">
        <v>3</v>
      </c>
      <c r="H71" t="s">
        <v>35</v>
      </c>
      <c r="I71" s="5" t="s">
        <v>118</v>
      </c>
      <c r="J71" s="5" t="s">
        <v>35</v>
      </c>
      <c r="K71" t="s">
        <v>60</v>
      </c>
      <c r="L71">
        <v>50</v>
      </c>
      <c r="M71">
        <v>330</v>
      </c>
      <c r="N71">
        <v>260</v>
      </c>
      <c r="O71">
        <v>325</v>
      </c>
      <c r="Q71">
        <f t="shared" si="6"/>
        <v>1962.1117999999999</v>
      </c>
    </row>
    <row r="72" spans="1:18">
      <c r="A72" t="s">
        <v>2</v>
      </c>
      <c r="B72" t="s">
        <v>10</v>
      </c>
      <c r="C72" t="s">
        <v>11</v>
      </c>
      <c r="D72" t="s">
        <v>81</v>
      </c>
      <c r="E72" t="s">
        <v>83</v>
      </c>
      <c r="F72" t="s">
        <v>22</v>
      </c>
      <c r="G72">
        <v>3</v>
      </c>
      <c r="H72" t="s">
        <v>35</v>
      </c>
      <c r="I72" s="5" t="s">
        <v>118</v>
      </c>
      <c r="J72" s="5" t="s">
        <v>35</v>
      </c>
      <c r="K72" t="s">
        <v>60</v>
      </c>
      <c r="L72">
        <v>100</v>
      </c>
      <c r="M72">
        <v>350</v>
      </c>
      <c r="N72">
        <v>180</v>
      </c>
      <c r="O72">
        <v>325</v>
      </c>
      <c r="Q72">
        <f>1100*2.20462</f>
        <v>2425.0819999999999</v>
      </c>
    </row>
    <row r="73" spans="1:18">
      <c r="A73" t="s">
        <v>2</v>
      </c>
      <c r="B73" t="s">
        <v>10</v>
      </c>
      <c r="C73" t="s">
        <v>11</v>
      </c>
      <c r="D73" t="s">
        <v>81</v>
      </c>
      <c r="E73" t="s">
        <v>83</v>
      </c>
      <c r="F73" t="s">
        <v>41</v>
      </c>
      <c r="G73">
        <v>3</v>
      </c>
      <c r="H73" t="s">
        <v>35</v>
      </c>
      <c r="I73" s="5" t="s">
        <v>118</v>
      </c>
      <c r="J73" s="5" t="s">
        <v>35</v>
      </c>
      <c r="K73" t="s">
        <v>60</v>
      </c>
      <c r="L73">
        <v>100</v>
      </c>
      <c r="M73">
        <v>350</v>
      </c>
      <c r="N73">
        <v>180</v>
      </c>
      <c r="O73">
        <v>325</v>
      </c>
      <c r="Q73">
        <f t="shared" ref="Q73:Q76" si="7">1100*2.20462</f>
        <v>2425.0819999999999</v>
      </c>
    </row>
    <row r="74" spans="1:18">
      <c r="A74" t="s">
        <v>2</v>
      </c>
      <c r="B74" t="s">
        <v>10</v>
      </c>
      <c r="C74" t="s">
        <v>11</v>
      </c>
      <c r="D74" t="s">
        <v>81</v>
      </c>
      <c r="E74" t="s">
        <v>83</v>
      </c>
      <c r="F74" t="s">
        <v>84</v>
      </c>
      <c r="G74">
        <v>3</v>
      </c>
      <c r="H74" t="s">
        <v>35</v>
      </c>
      <c r="I74" s="5" t="s">
        <v>118</v>
      </c>
      <c r="J74" s="5" t="s">
        <v>35</v>
      </c>
      <c r="K74" t="s">
        <v>60</v>
      </c>
      <c r="L74">
        <v>100</v>
      </c>
      <c r="M74">
        <v>350</v>
      </c>
      <c r="N74">
        <v>180</v>
      </c>
      <c r="O74">
        <v>325</v>
      </c>
      <c r="Q74">
        <f t="shared" si="7"/>
        <v>2425.0819999999999</v>
      </c>
    </row>
    <row r="75" spans="1:18">
      <c r="A75" t="s">
        <v>2</v>
      </c>
      <c r="B75" t="s">
        <v>10</v>
      </c>
      <c r="C75" t="s">
        <v>11</v>
      </c>
      <c r="D75" t="s">
        <v>82</v>
      </c>
      <c r="E75" t="s">
        <v>83</v>
      </c>
      <c r="F75" t="s">
        <v>85</v>
      </c>
      <c r="G75">
        <v>3</v>
      </c>
      <c r="H75" t="s">
        <v>35</v>
      </c>
      <c r="I75" s="5" t="s">
        <v>118</v>
      </c>
      <c r="J75" s="5" t="s">
        <v>35</v>
      </c>
      <c r="K75" t="s">
        <v>60</v>
      </c>
      <c r="L75">
        <v>100</v>
      </c>
      <c r="M75">
        <v>350</v>
      </c>
      <c r="N75">
        <v>180</v>
      </c>
      <c r="O75">
        <v>325</v>
      </c>
      <c r="Q75">
        <f t="shared" si="7"/>
        <v>2425.0819999999999</v>
      </c>
    </row>
    <row r="76" spans="1:18">
      <c r="A76" t="s">
        <v>2</v>
      </c>
      <c r="B76" t="s">
        <v>10</v>
      </c>
      <c r="C76" t="s">
        <v>11</v>
      </c>
      <c r="D76" t="s">
        <v>82</v>
      </c>
      <c r="E76" t="s">
        <v>83</v>
      </c>
      <c r="F76" t="s">
        <v>86</v>
      </c>
      <c r="G76">
        <v>3</v>
      </c>
      <c r="H76" t="s">
        <v>35</v>
      </c>
      <c r="I76" s="5" t="s">
        <v>118</v>
      </c>
      <c r="J76" s="5" t="s">
        <v>35</v>
      </c>
      <c r="K76" t="s">
        <v>60</v>
      </c>
      <c r="L76">
        <v>100</v>
      </c>
      <c r="M76">
        <v>350</v>
      </c>
      <c r="N76">
        <v>180</v>
      </c>
      <c r="O76">
        <v>325</v>
      </c>
      <c r="Q76">
        <f t="shared" si="7"/>
        <v>2425.0819999999999</v>
      </c>
    </row>
    <row r="77" spans="1:18">
      <c r="A77" t="s">
        <v>2</v>
      </c>
      <c r="B77" t="s">
        <v>10</v>
      </c>
      <c r="C77" t="s">
        <v>11</v>
      </c>
      <c r="D77" t="s">
        <v>67</v>
      </c>
      <c r="E77" t="s">
        <v>87</v>
      </c>
      <c r="F77" t="s">
        <v>88</v>
      </c>
      <c r="G77">
        <v>2</v>
      </c>
      <c r="H77" t="s">
        <v>35</v>
      </c>
      <c r="I77" s="5" t="s">
        <v>118</v>
      </c>
      <c r="J77" s="5" t="s">
        <v>35</v>
      </c>
      <c r="K77" t="s">
        <v>60</v>
      </c>
      <c r="L77">
        <v>100</v>
      </c>
      <c r="M77">
        <v>320</v>
      </c>
      <c r="N77">
        <v>250</v>
      </c>
      <c r="O77">
        <v>300</v>
      </c>
      <c r="Q77">
        <f>900*2.20462</f>
        <v>1984.1579999999999</v>
      </c>
    </row>
    <row r="78" spans="1:18">
      <c r="A78" t="s">
        <v>2</v>
      </c>
      <c r="B78" t="s">
        <v>10</v>
      </c>
      <c r="C78" t="s">
        <v>11</v>
      </c>
      <c r="D78" t="s">
        <v>82</v>
      </c>
      <c r="E78" t="s">
        <v>87</v>
      </c>
      <c r="F78" t="s">
        <v>89</v>
      </c>
      <c r="G78">
        <v>2</v>
      </c>
      <c r="H78" t="s">
        <v>35</v>
      </c>
      <c r="I78" s="5" t="s">
        <v>118</v>
      </c>
      <c r="J78" s="5" t="s">
        <v>35</v>
      </c>
      <c r="K78" t="s">
        <v>60</v>
      </c>
      <c r="L78">
        <v>100</v>
      </c>
      <c r="M78">
        <v>320</v>
      </c>
      <c r="N78">
        <v>250</v>
      </c>
      <c r="O78">
        <v>300</v>
      </c>
      <c r="Q78">
        <f>900*2.20462</f>
        <v>1984.1579999999999</v>
      </c>
    </row>
    <row r="79" spans="1:18">
      <c r="A79" t="s">
        <v>63</v>
      </c>
      <c r="B79" t="s">
        <v>64</v>
      </c>
      <c r="C79" t="s">
        <v>22</v>
      </c>
      <c r="D79" t="s">
        <v>2</v>
      </c>
      <c r="E79" t="s">
        <v>19</v>
      </c>
      <c r="F79" t="s">
        <v>39</v>
      </c>
      <c r="G79" t="s">
        <v>35</v>
      </c>
      <c r="H79">
        <v>0</v>
      </c>
      <c r="I79" s="5" t="s">
        <v>35</v>
      </c>
      <c r="J79" s="5" t="s">
        <v>118</v>
      </c>
      <c r="K79" t="s">
        <v>22</v>
      </c>
      <c r="L79">
        <v>200</v>
      </c>
      <c r="M79">
        <v>320</v>
      </c>
      <c r="N79">
        <v>250</v>
      </c>
      <c r="O79">
        <v>290</v>
      </c>
    </row>
    <row r="80" spans="1:18">
      <c r="A80" t="s">
        <v>67</v>
      </c>
      <c r="B80" t="s">
        <v>90</v>
      </c>
      <c r="C80" t="s">
        <v>84</v>
      </c>
      <c r="D80" t="s">
        <v>2</v>
      </c>
      <c r="E80" t="s">
        <v>32</v>
      </c>
      <c r="F80" t="s">
        <v>71</v>
      </c>
      <c r="G80" t="s">
        <v>35</v>
      </c>
      <c r="H80">
        <v>1</v>
      </c>
      <c r="I80" s="5" t="s">
        <v>35</v>
      </c>
      <c r="J80" s="5" t="s">
        <v>118</v>
      </c>
      <c r="K80" t="s">
        <v>60</v>
      </c>
      <c r="L80">
        <v>150</v>
      </c>
      <c r="M80">
        <v>250</v>
      </c>
      <c r="N80">
        <v>230</v>
      </c>
      <c r="O80">
        <v>270</v>
      </c>
      <c r="R80" t="s">
        <v>91</v>
      </c>
    </row>
    <row r="81" spans="1:18">
      <c r="A81" t="s">
        <v>67</v>
      </c>
      <c r="B81" t="s">
        <v>90</v>
      </c>
      <c r="C81" t="s">
        <v>84</v>
      </c>
      <c r="D81" t="s">
        <v>2</v>
      </c>
      <c r="E81" t="s">
        <v>20</v>
      </c>
      <c r="F81" t="s">
        <v>40</v>
      </c>
      <c r="G81" t="s">
        <v>35</v>
      </c>
      <c r="H81">
        <v>1</v>
      </c>
      <c r="I81" s="5" t="s">
        <v>35</v>
      </c>
      <c r="J81" s="5" t="s">
        <v>118</v>
      </c>
      <c r="K81" t="s">
        <v>60</v>
      </c>
      <c r="L81">
        <v>150</v>
      </c>
      <c r="M81">
        <v>250</v>
      </c>
      <c r="N81">
        <v>230</v>
      </c>
      <c r="O81">
        <v>270</v>
      </c>
      <c r="R81" t="s">
        <v>91</v>
      </c>
    </row>
    <row r="82" spans="1:18">
      <c r="A82" t="s">
        <v>54</v>
      </c>
      <c r="B82" t="s">
        <v>10</v>
      </c>
      <c r="C82" t="s">
        <v>10</v>
      </c>
      <c r="D82" t="s">
        <v>2</v>
      </c>
      <c r="E82" t="s">
        <v>0</v>
      </c>
      <c r="F82" t="s">
        <v>39</v>
      </c>
      <c r="G82" t="s">
        <v>35</v>
      </c>
      <c r="H82">
        <v>3</v>
      </c>
      <c r="I82" s="5" t="s">
        <v>35</v>
      </c>
      <c r="J82" s="5" t="s">
        <v>118</v>
      </c>
      <c r="K82" t="s">
        <v>22</v>
      </c>
      <c r="L82">
        <v>150</v>
      </c>
      <c r="M82">
        <v>280</v>
      </c>
      <c r="N82">
        <v>265</v>
      </c>
      <c r="O82">
        <v>285</v>
      </c>
      <c r="P82">
        <v>0.8</v>
      </c>
    </row>
    <row r="83" spans="1:18">
      <c r="A83" t="s">
        <v>81</v>
      </c>
      <c r="B83" t="s">
        <v>10</v>
      </c>
      <c r="C83" t="s">
        <v>93</v>
      </c>
      <c r="D83" t="s">
        <v>2</v>
      </c>
      <c r="E83" t="s">
        <v>0</v>
      </c>
      <c r="F83" t="s">
        <v>39</v>
      </c>
      <c r="G83" t="s">
        <v>35</v>
      </c>
      <c r="H83">
        <v>3</v>
      </c>
      <c r="I83" s="5" t="s">
        <v>35</v>
      </c>
      <c r="J83" s="5" t="s">
        <v>118</v>
      </c>
      <c r="K83" t="s">
        <v>22</v>
      </c>
      <c r="L83">
        <v>150</v>
      </c>
      <c r="M83">
        <v>280</v>
      </c>
      <c r="N83">
        <v>265</v>
      </c>
      <c r="O83">
        <v>285</v>
      </c>
      <c r="P83">
        <v>0.8</v>
      </c>
    </row>
    <row r="84" spans="1:18">
      <c r="A84" t="s">
        <v>52</v>
      </c>
      <c r="B84" t="s">
        <v>10</v>
      </c>
      <c r="C84" t="s">
        <v>94</v>
      </c>
      <c r="D84" t="s">
        <v>2</v>
      </c>
      <c r="E84" t="s">
        <v>0</v>
      </c>
      <c r="F84" t="s">
        <v>39</v>
      </c>
      <c r="G84" t="s">
        <v>35</v>
      </c>
      <c r="H84">
        <v>3</v>
      </c>
      <c r="I84" s="5" t="s">
        <v>35</v>
      </c>
      <c r="J84" s="5" t="s">
        <v>118</v>
      </c>
      <c r="K84" t="s">
        <v>22</v>
      </c>
      <c r="L84">
        <v>150</v>
      </c>
      <c r="M84">
        <v>280</v>
      </c>
      <c r="N84">
        <v>265</v>
      </c>
      <c r="O84">
        <v>285</v>
      </c>
      <c r="P84">
        <v>0.8</v>
      </c>
    </row>
    <row r="85" spans="1:18">
      <c r="A85" t="s">
        <v>92</v>
      </c>
      <c r="B85" t="s">
        <v>10</v>
      </c>
      <c r="C85" t="s">
        <v>95</v>
      </c>
      <c r="D85" t="s">
        <v>2</v>
      </c>
      <c r="E85" t="s">
        <v>0</v>
      </c>
      <c r="F85" t="s">
        <v>39</v>
      </c>
      <c r="G85">
        <v>2</v>
      </c>
      <c r="H85">
        <v>3</v>
      </c>
      <c r="I85" s="5" t="s">
        <v>122</v>
      </c>
      <c r="J85" s="5" t="s">
        <v>118</v>
      </c>
      <c r="K85" t="s">
        <v>22</v>
      </c>
      <c r="L85">
        <v>150</v>
      </c>
      <c r="M85">
        <v>280</v>
      </c>
      <c r="N85">
        <v>265</v>
      </c>
      <c r="O85">
        <v>285</v>
      </c>
      <c r="P85">
        <v>0.8</v>
      </c>
      <c r="Q85">
        <v>7500</v>
      </c>
    </row>
    <row r="86" spans="1:18">
      <c r="A86" t="s">
        <v>1</v>
      </c>
      <c r="B86" t="s">
        <v>97</v>
      </c>
      <c r="C86" t="s">
        <v>98</v>
      </c>
      <c r="D86" t="s">
        <v>2</v>
      </c>
      <c r="E86" t="s">
        <v>0</v>
      </c>
      <c r="F86" t="s">
        <v>39</v>
      </c>
      <c r="G86" t="s">
        <v>35</v>
      </c>
      <c r="H86">
        <v>3</v>
      </c>
      <c r="I86" s="5" t="s">
        <v>35</v>
      </c>
      <c r="J86" s="5" t="s">
        <v>118</v>
      </c>
      <c r="K86" t="s">
        <v>22</v>
      </c>
      <c r="L86">
        <v>120</v>
      </c>
      <c r="M86">
        <v>310</v>
      </c>
      <c r="N86">
        <v>260</v>
      </c>
      <c r="O86">
        <v>270</v>
      </c>
    </row>
    <row r="87" spans="1:18">
      <c r="A87" t="s">
        <v>96</v>
      </c>
      <c r="B87" t="s">
        <v>99</v>
      </c>
      <c r="C87" t="s">
        <v>98</v>
      </c>
      <c r="D87" t="s">
        <v>2</v>
      </c>
      <c r="E87" t="s">
        <v>0</v>
      </c>
      <c r="F87" t="s">
        <v>39</v>
      </c>
      <c r="G87" t="s">
        <v>35</v>
      </c>
      <c r="H87">
        <v>3</v>
      </c>
      <c r="I87" s="5" t="s">
        <v>35</v>
      </c>
      <c r="J87" s="5" t="s">
        <v>118</v>
      </c>
      <c r="K87" t="s">
        <v>22</v>
      </c>
      <c r="L87">
        <v>120</v>
      </c>
      <c r="M87">
        <v>310</v>
      </c>
      <c r="N87">
        <v>260</v>
      </c>
      <c r="O87">
        <v>270</v>
      </c>
    </row>
    <row r="88" spans="1:18">
      <c r="A88" t="s">
        <v>1</v>
      </c>
      <c r="B88" t="s">
        <v>97</v>
      </c>
      <c r="C88" t="s">
        <v>100</v>
      </c>
      <c r="D88" t="s">
        <v>2</v>
      </c>
      <c r="E88" t="s">
        <v>0</v>
      </c>
      <c r="F88" t="s">
        <v>39</v>
      </c>
      <c r="G88" t="s">
        <v>35</v>
      </c>
      <c r="H88">
        <v>3</v>
      </c>
      <c r="I88" s="5" t="s">
        <v>35</v>
      </c>
      <c r="J88" s="5" t="s">
        <v>118</v>
      </c>
      <c r="K88" t="s">
        <v>22</v>
      </c>
      <c r="L88">
        <v>120</v>
      </c>
      <c r="M88">
        <v>310</v>
      </c>
      <c r="N88">
        <v>260</v>
      </c>
      <c r="O88">
        <v>270</v>
      </c>
    </row>
    <row r="89" spans="1:18">
      <c r="A89" t="s">
        <v>1</v>
      </c>
      <c r="B89" t="s">
        <v>101</v>
      </c>
      <c r="C89" t="s">
        <v>39</v>
      </c>
      <c r="D89" t="s">
        <v>2</v>
      </c>
      <c r="E89" t="s">
        <v>0</v>
      </c>
      <c r="F89" t="s">
        <v>39</v>
      </c>
      <c r="G89" t="s">
        <v>35</v>
      </c>
      <c r="H89">
        <v>1</v>
      </c>
      <c r="I89" s="5" t="s">
        <v>35</v>
      </c>
      <c r="J89" s="5" t="s">
        <v>118</v>
      </c>
      <c r="K89" t="s">
        <v>22</v>
      </c>
      <c r="L89">
        <v>200</v>
      </c>
      <c r="M89">
        <v>310</v>
      </c>
      <c r="N89">
        <v>250</v>
      </c>
      <c r="O89">
        <v>290</v>
      </c>
    </row>
    <row r="90" spans="1:18">
      <c r="A90" t="s">
        <v>54</v>
      </c>
      <c r="B90" t="s">
        <v>10</v>
      </c>
      <c r="C90" t="s">
        <v>10</v>
      </c>
      <c r="D90" t="s">
        <v>2</v>
      </c>
      <c r="E90" t="s">
        <v>19</v>
      </c>
      <c r="F90" t="s">
        <v>39</v>
      </c>
      <c r="G90" t="s">
        <v>35</v>
      </c>
      <c r="H90">
        <v>3</v>
      </c>
      <c r="I90" s="5" t="s">
        <v>35</v>
      </c>
      <c r="J90" s="5" t="s">
        <v>118</v>
      </c>
      <c r="K90" t="s">
        <v>22</v>
      </c>
      <c r="L90">
        <v>200</v>
      </c>
      <c r="M90">
        <v>300</v>
      </c>
      <c r="N90">
        <v>250</v>
      </c>
      <c r="O90">
        <v>290</v>
      </c>
      <c r="P90">
        <v>0.72</v>
      </c>
    </row>
    <row r="91" spans="1:18">
      <c r="A91" t="s">
        <v>81</v>
      </c>
      <c r="B91" t="s">
        <v>10</v>
      </c>
      <c r="C91" t="s">
        <v>93</v>
      </c>
      <c r="D91" t="s">
        <v>2</v>
      </c>
      <c r="E91" t="s">
        <v>19</v>
      </c>
      <c r="F91" t="s">
        <v>39</v>
      </c>
      <c r="G91" t="s">
        <v>35</v>
      </c>
      <c r="H91">
        <v>3</v>
      </c>
      <c r="I91" s="5" t="s">
        <v>35</v>
      </c>
      <c r="J91" s="5" t="s">
        <v>118</v>
      </c>
      <c r="K91" t="s">
        <v>22</v>
      </c>
      <c r="L91">
        <v>200</v>
      </c>
      <c r="M91">
        <v>300</v>
      </c>
      <c r="N91">
        <v>250</v>
      </c>
      <c r="O91">
        <v>290</v>
      </c>
      <c r="P91">
        <v>0.72</v>
      </c>
    </row>
    <row r="92" spans="1:18">
      <c r="A92" t="s">
        <v>52</v>
      </c>
      <c r="B92" t="s">
        <v>10</v>
      </c>
      <c r="C92" t="s">
        <v>94</v>
      </c>
      <c r="D92" t="s">
        <v>2</v>
      </c>
      <c r="E92" t="s">
        <v>19</v>
      </c>
      <c r="F92" t="s">
        <v>39</v>
      </c>
      <c r="G92" t="s">
        <v>35</v>
      </c>
      <c r="H92">
        <v>3</v>
      </c>
      <c r="I92" s="5" t="s">
        <v>35</v>
      </c>
      <c r="J92" s="5" t="s">
        <v>118</v>
      </c>
      <c r="K92" t="s">
        <v>22</v>
      </c>
      <c r="L92">
        <v>200</v>
      </c>
      <c r="M92">
        <v>300</v>
      </c>
      <c r="N92">
        <v>250</v>
      </c>
      <c r="O92">
        <v>290</v>
      </c>
      <c r="P92">
        <v>0.72</v>
      </c>
    </row>
    <row r="93" spans="1:18">
      <c r="A93" t="s">
        <v>92</v>
      </c>
      <c r="B93" t="s">
        <v>10</v>
      </c>
      <c r="C93" t="s">
        <v>95</v>
      </c>
      <c r="D93" t="s">
        <v>2</v>
      </c>
      <c r="E93" t="s">
        <v>19</v>
      </c>
      <c r="F93" t="s">
        <v>39</v>
      </c>
      <c r="G93">
        <v>2</v>
      </c>
      <c r="H93">
        <v>3</v>
      </c>
      <c r="I93" s="5" t="s">
        <v>122</v>
      </c>
      <c r="J93" s="5" t="s">
        <v>118</v>
      </c>
      <c r="K93" t="s">
        <v>22</v>
      </c>
      <c r="L93">
        <v>200</v>
      </c>
      <c r="M93">
        <v>300</v>
      </c>
      <c r="N93">
        <v>250</v>
      </c>
      <c r="O93">
        <v>290</v>
      </c>
      <c r="P93">
        <v>0.72</v>
      </c>
      <c r="Q93">
        <v>4200</v>
      </c>
    </row>
    <row r="94" spans="1:18">
      <c r="A94" t="s">
        <v>1</v>
      </c>
      <c r="B94" t="s">
        <v>97</v>
      </c>
      <c r="C94" t="s">
        <v>98</v>
      </c>
      <c r="D94" t="s">
        <v>2</v>
      </c>
      <c r="E94" t="s">
        <v>19</v>
      </c>
      <c r="F94" t="s">
        <v>39</v>
      </c>
      <c r="G94" t="s">
        <v>35</v>
      </c>
      <c r="H94">
        <v>3</v>
      </c>
      <c r="I94" s="5" t="s">
        <v>35</v>
      </c>
      <c r="J94" s="5" t="s">
        <v>118</v>
      </c>
      <c r="K94" t="s">
        <v>22</v>
      </c>
      <c r="L94">
        <v>200</v>
      </c>
      <c r="M94">
        <v>300</v>
      </c>
      <c r="N94">
        <v>250</v>
      </c>
      <c r="O94">
        <v>290</v>
      </c>
    </row>
    <row r="95" spans="1:18">
      <c r="A95" t="s">
        <v>96</v>
      </c>
      <c r="B95" t="s">
        <v>99</v>
      </c>
      <c r="C95" t="s">
        <v>98</v>
      </c>
      <c r="D95" t="s">
        <v>2</v>
      </c>
      <c r="E95" t="s">
        <v>19</v>
      </c>
      <c r="F95" t="s">
        <v>39</v>
      </c>
      <c r="G95" t="s">
        <v>35</v>
      </c>
      <c r="H95">
        <v>3</v>
      </c>
      <c r="I95" s="5" t="s">
        <v>35</v>
      </c>
      <c r="J95" s="5" t="s">
        <v>118</v>
      </c>
      <c r="K95" t="s">
        <v>22</v>
      </c>
      <c r="L95">
        <v>200</v>
      </c>
      <c r="M95">
        <v>300</v>
      </c>
      <c r="N95">
        <v>250</v>
      </c>
      <c r="O95">
        <v>290</v>
      </c>
    </row>
    <row r="96" spans="1:18">
      <c r="A96" t="s">
        <v>1</v>
      </c>
      <c r="B96" t="s">
        <v>97</v>
      </c>
      <c r="C96" t="s">
        <v>100</v>
      </c>
      <c r="D96" t="s">
        <v>2</v>
      </c>
      <c r="E96" t="s">
        <v>19</v>
      </c>
      <c r="F96" t="s">
        <v>39</v>
      </c>
      <c r="G96" t="s">
        <v>35</v>
      </c>
      <c r="H96">
        <v>3</v>
      </c>
      <c r="I96" s="5" t="s">
        <v>35</v>
      </c>
      <c r="J96" s="5" t="s">
        <v>118</v>
      </c>
      <c r="K96" t="s">
        <v>22</v>
      </c>
      <c r="L96">
        <v>200</v>
      </c>
      <c r="M96">
        <v>300</v>
      </c>
      <c r="N96">
        <v>250</v>
      </c>
      <c r="O96">
        <v>290</v>
      </c>
    </row>
    <row r="97" spans="1:18">
      <c r="A97" t="s">
        <v>81</v>
      </c>
      <c r="B97" t="s">
        <v>102</v>
      </c>
      <c r="C97" t="s">
        <v>103</v>
      </c>
      <c r="D97" t="s">
        <v>2</v>
      </c>
      <c r="E97" t="s">
        <v>19</v>
      </c>
      <c r="F97" t="s">
        <v>39</v>
      </c>
      <c r="G97" t="s">
        <v>35</v>
      </c>
      <c r="H97">
        <v>3</v>
      </c>
      <c r="I97" s="5" t="s">
        <v>35</v>
      </c>
      <c r="J97" s="5" t="s">
        <v>118</v>
      </c>
      <c r="K97" t="s">
        <v>22</v>
      </c>
      <c r="L97">
        <v>200</v>
      </c>
      <c r="M97">
        <v>300</v>
      </c>
      <c r="N97">
        <v>250</v>
      </c>
      <c r="O97">
        <v>290</v>
      </c>
    </row>
    <row r="98" spans="1:18">
      <c r="A98" t="s">
        <v>81</v>
      </c>
      <c r="B98" t="s">
        <v>97</v>
      </c>
      <c r="C98" t="s">
        <v>104</v>
      </c>
      <c r="D98" t="s">
        <v>2</v>
      </c>
      <c r="E98" t="s">
        <v>19</v>
      </c>
      <c r="F98" t="s">
        <v>39</v>
      </c>
      <c r="G98" t="s">
        <v>35</v>
      </c>
      <c r="H98">
        <v>3</v>
      </c>
      <c r="I98" s="5" t="s">
        <v>35</v>
      </c>
      <c r="J98" s="5" t="s">
        <v>118</v>
      </c>
      <c r="K98" t="s">
        <v>22</v>
      </c>
      <c r="L98">
        <v>200</v>
      </c>
      <c r="M98">
        <v>300</v>
      </c>
      <c r="N98">
        <v>250</v>
      </c>
      <c r="O98">
        <v>290</v>
      </c>
    </row>
    <row r="99" spans="1:18">
      <c r="A99" t="s">
        <v>66</v>
      </c>
      <c r="B99" t="s">
        <v>105</v>
      </c>
      <c r="C99" t="s">
        <v>100</v>
      </c>
      <c r="D99" t="s">
        <v>2</v>
      </c>
      <c r="E99" t="s">
        <v>32</v>
      </c>
      <c r="F99" t="s">
        <v>71</v>
      </c>
      <c r="G99" t="s">
        <v>35</v>
      </c>
      <c r="H99">
        <v>3</v>
      </c>
      <c r="I99" s="5" t="s">
        <v>35</v>
      </c>
      <c r="J99" s="5" t="s">
        <v>118</v>
      </c>
      <c r="K99" t="s">
        <v>60</v>
      </c>
      <c r="L99">
        <v>100</v>
      </c>
      <c r="M99">
        <v>250</v>
      </c>
      <c r="N99">
        <v>230</v>
      </c>
      <c r="O99">
        <v>270</v>
      </c>
    </row>
    <row r="100" spans="1:18">
      <c r="A100" t="s">
        <v>66</v>
      </c>
      <c r="B100" t="s">
        <v>105</v>
      </c>
      <c r="C100" t="s">
        <v>100</v>
      </c>
      <c r="D100" t="s">
        <v>2</v>
      </c>
      <c r="E100" t="s">
        <v>20</v>
      </c>
      <c r="F100" t="s">
        <v>40</v>
      </c>
      <c r="G100" t="s">
        <v>35</v>
      </c>
      <c r="H100">
        <v>3</v>
      </c>
      <c r="I100" s="5" t="s">
        <v>35</v>
      </c>
      <c r="J100" s="5" t="s">
        <v>118</v>
      </c>
      <c r="K100" t="s">
        <v>60</v>
      </c>
      <c r="L100">
        <v>100</v>
      </c>
      <c r="M100">
        <v>250</v>
      </c>
      <c r="N100">
        <v>230</v>
      </c>
      <c r="O100">
        <v>270</v>
      </c>
    </row>
    <row r="101" spans="1:18">
      <c r="A101" t="s">
        <v>63</v>
      </c>
      <c r="B101" t="s">
        <v>62</v>
      </c>
      <c r="C101" t="s">
        <v>39</v>
      </c>
      <c r="D101" t="s">
        <v>2</v>
      </c>
      <c r="E101" t="s">
        <v>32</v>
      </c>
      <c r="F101" t="s">
        <v>71</v>
      </c>
      <c r="G101" t="s">
        <v>35</v>
      </c>
      <c r="H101">
        <v>3</v>
      </c>
      <c r="I101" s="5" t="s">
        <v>35</v>
      </c>
      <c r="J101" s="5" t="s">
        <v>118</v>
      </c>
      <c r="K101" t="s">
        <v>60</v>
      </c>
      <c r="L101">
        <v>50</v>
      </c>
      <c r="M101">
        <v>330</v>
      </c>
      <c r="N101">
        <v>200</v>
      </c>
      <c r="O101">
        <v>300</v>
      </c>
    </row>
    <row r="102" spans="1:18">
      <c r="A102" t="s">
        <v>63</v>
      </c>
      <c r="B102" t="s">
        <v>62</v>
      </c>
      <c r="C102" t="s">
        <v>39</v>
      </c>
      <c r="D102" t="s">
        <v>2</v>
      </c>
      <c r="E102" t="s">
        <v>20</v>
      </c>
      <c r="F102" t="s">
        <v>40</v>
      </c>
      <c r="G102" t="s">
        <v>35</v>
      </c>
      <c r="H102">
        <v>3</v>
      </c>
      <c r="I102" s="5" t="s">
        <v>35</v>
      </c>
      <c r="J102" s="5" t="s">
        <v>118</v>
      </c>
      <c r="K102" t="s">
        <v>60</v>
      </c>
      <c r="L102">
        <v>50</v>
      </c>
      <c r="M102">
        <v>330</v>
      </c>
      <c r="N102">
        <v>200</v>
      </c>
      <c r="O102">
        <v>300</v>
      </c>
    </row>
    <row r="103" spans="1:18">
      <c r="A103" t="s">
        <v>65</v>
      </c>
      <c r="B103" t="s">
        <v>107</v>
      </c>
      <c r="C103" t="s">
        <v>42</v>
      </c>
      <c r="D103" t="s">
        <v>2</v>
      </c>
      <c r="E103" t="s">
        <v>32</v>
      </c>
      <c r="F103" t="s">
        <v>71</v>
      </c>
      <c r="G103" t="s">
        <v>35</v>
      </c>
      <c r="H103">
        <v>3</v>
      </c>
      <c r="I103" s="5" t="s">
        <v>35</v>
      </c>
      <c r="J103" s="5" t="s">
        <v>118</v>
      </c>
      <c r="K103" t="s">
        <v>60</v>
      </c>
      <c r="L103">
        <v>50</v>
      </c>
      <c r="M103">
        <v>350</v>
      </c>
      <c r="N103">
        <v>185</v>
      </c>
      <c r="O103">
        <v>250</v>
      </c>
    </row>
    <row r="104" spans="1:18">
      <c r="A104" t="s">
        <v>106</v>
      </c>
      <c r="B104" t="s">
        <v>107</v>
      </c>
      <c r="C104" t="s">
        <v>42</v>
      </c>
      <c r="D104" t="s">
        <v>2</v>
      </c>
      <c r="E104" t="s">
        <v>32</v>
      </c>
      <c r="F104" t="s">
        <v>71</v>
      </c>
      <c r="G104" t="s">
        <v>35</v>
      </c>
      <c r="H104">
        <v>3</v>
      </c>
      <c r="I104" s="5" t="s">
        <v>35</v>
      </c>
      <c r="J104" s="5" t="s">
        <v>118</v>
      </c>
      <c r="K104" t="s">
        <v>60</v>
      </c>
      <c r="L104">
        <v>50</v>
      </c>
      <c r="M104">
        <v>250</v>
      </c>
      <c r="N104">
        <v>185</v>
      </c>
      <c r="O104">
        <v>250</v>
      </c>
    </row>
    <row r="105" spans="1:18">
      <c r="A105" t="s">
        <v>65</v>
      </c>
      <c r="B105" t="s">
        <v>107</v>
      </c>
      <c r="C105" t="s">
        <v>42</v>
      </c>
      <c r="D105" t="s">
        <v>2</v>
      </c>
      <c r="E105" t="s">
        <v>20</v>
      </c>
      <c r="F105" t="s">
        <v>40</v>
      </c>
      <c r="G105" t="s">
        <v>35</v>
      </c>
      <c r="H105">
        <v>3</v>
      </c>
      <c r="I105" s="5" t="s">
        <v>35</v>
      </c>
      <c r="J105" s="5" t="s">
        <v>118</v>
      </c>
      <c r="K105" t="s">
        <v>60</v>
      </c>
      <c r="L105">
        <v>50</v>
      </c>
      <c r="M105">
        <v>350</v>
      </c>
      <c r="N105">
        <v>185</v>
      </c>
      <c r="O105">
        <v>250</v>
      </c>
    </row>
    <row r="106" spans="1:18">
      <c r="A106" t="s">
        <v>106</v>
      </c>
      <c r="B106" t="s">
        <v>107</v>
      </c>
      <c r="C106" t="s">
        <v>42</v>
      </c>
      <c r="D106" t="s">
        <v>2</v>
      </c>
      <c r="E106" t="s">
        <v>20</v>
      </c>
      <c r="F106" t="s">
        <v>40</v>
      </c>
      <c r="G106" t="s">
        <v>35</v>
      </c>
      <c r="H106">
        <v>3</v>
      </c>
      <c r="I106" s="5" t="s">
        <v>35</v>
      </c>
      <c r="J106" s="5" t="s">
        <v>118</v>
      </c>
      <c r="K106" t="s">
        <v>60</v>
      </c>
      <c r="L106">
        <v>50</v>
      </c>
      <c r="M106">
        <v>250</v>
      </c>
      <c r="N106">
        <v>185</v>
      </c>
      <c r="O106">
        <v>250</v>
      </c>
    </row>
    <row r="107" spans="1:18">
      <c r="A107" t="s">
        <v>54</v>
      </c>
      <c r="B107" t="s">
        <v>10</v>
      </c>
      <c r="C107" t="s">
        <v>10</v>
      </c>
      <c r="D107" t="s">
        <v>2</v>
      </c>
      <c r="E107" t="s">
        <v>20</v>
      </c>
      <c r="F107" t="s">
        <v>40</v>
      </c>
      <c r="G107" t="s">
        <v>35</v>
      </c>
      <c r="H107">
        <v>3</v>
      </c>
      <c r="I107" s="5" t="s">
        <v>35</v>
      </c>
      <c r="J107" s="5" t="s">
        <v>118</v>
      </c>
      <c r="K107" t="s">
        <v>60</v>
      </c>
      <c r="L107">
        <v>15</v>
      </c>
      <c r="M107">
        <v>350</v>
      </c>
      <c r="N107">
        <v>250</v>
      </c>
      <c r="O107">
        <v>300</v>
      </c>
      <c r="P107">
        <v>0.8</v>
      </c>
      <c r="R107" t="s">
        <v>112</v>
      </c>
    </row>
    <row r="108" spans="1:18">
      <c r="A108" t="s">
        <v>81</v>
      </c>
      <c r="B108" t="s">
        <v>10</v>
      </c>
      <c r="C108" t="s">
        <v>93</v>
      </c>
      <c r="D108" t="s">
        <v>2</v>
      </c>
      <c r="E108" t="s">
        <v>20</v>
      </c>
      <c r="F108" t="s">
        <v>40</v>
      </c>
      <c r="G108" t="s">
        <v>35</v>
      </c>
      <c r="H108">
        <v>3</v>
      </c>
      <c r="I108" s="5" t="s">
        <v>35</v>
      </c>
      <c r="J108" s="5" t="s">
        <v>118</v>
      </c>
      <c r="K108" t="s">
        <v>60</v>
      </c>
      <c r="L108">
        <v>15</v>
      </c>
      <c r="M108">
        <v>350</v>
      </c>
      <c r="N108">
        <v>250</v>
      </c>
      <c r="O108">
        <v>300</v>
      </c>
      <c r="P108">
        <v>0.8</v>
      </c>
      <c r="R108" t="s">
        <v>112</v>
      </c>
    </row>
    <row r="109" spans="1:18">
      <c r="A109" t="s">
        <v>52</v>
      </c>
      <c r="B109" t="s">
        <v>10</v>
      </c>
      <c r="C109" t="s">
        <v>94</v>
      </c>
      <c r="D109" t="s">
        <v>2</v>
      </c>
      <c r="E109" t="s">
        <v>20</v>
      </c>
      <c r="F109" t="s">
        <v>40</v>
      </c>
      <c r="G109" t="s">
        <v>35</v>
      </c>
      <c r="H109">
        <v>3</v>
      </c>
      <c r="I109" s="5" t="s">
        <v>35</v>
      </c>
      <c r="J109" s="5" t="s">
        <v>118</v>
      </c>
      <c r="K109" t="s">
        <v>60</v>
      </c>
      <c r="L109">
        <v>15</v>
      </c>
      <c r="M109">
        <v>350</v>
      </c>
      <c r="N109">
        <v>250</v>
      </c>
      <c r="O109">
        <v>300</v>
      </c>
      <c r="P109">
        <v>0.8</v>
      </c>
      <c r="R109" t="s">
        <v>112</v>
      </c>
    </row>
    <row r="110" spans="1:18">
      <c r="A110" t="s">
        <v>92</v>
      </c>
      <c r="B110" t="s">
        <v>10</v>
      </c>
      <c r="C110" t="s">
        <v>95</v>
      </c>
      <c r="D110" t="s">
        <v>2</v>
      </c>
      <c r="E110" t="s">
        <v>20</v>
      </c>
      <c r="F110" t="s">
        <v>40</v>
      </c>
      <c r="G110">
        <v>3</v>
      </c>
      <c r="H110">
        <v>3</v>
      </c>
      <c r="I110" s="5" t="s">
        <v>122</v>
      </c>
      <c r="J110" s="5" t="s">
        <v>118</v>
      </c>
      <c r="K110" t="s">
        <v>60</v>
      </c>
      <c r="L110">
        <v>150</v>
      </c>
      <c r="M110">
        <v>350</v>
      </c>
      <c r="N110">
        <v>250</v>
      </c>
      <c r="O110">
        <v>300</v>
      </c>
      <c r="P110">
        <v>0.8</v>
      </c>
      <c r="Q110">
        <v>2425</v>
      </c>
    </row>
    <row r="111" spans="1:18">
      <c r="A111" t="s">
        <v>78</v>
      </c>
      <c r="B111" t="s">
        <v>10</v>
      </c>
      <c r="C111" t="s">
        <v>108</v>
      </c>
      <c r="D111" t="s">
        <v>2</v>
      </c>
      <c r="E111" t="s">
        <v>20</v>
      </c>
      <c r="F111" t="s">
        <v>40</v>
      </c>
      <c r="G111" t="s">
        <v>35</v>
      </c>
      <c r="H111">
        <v>3</v>
      </c>
      <c r="I111" s="5" t="s">
        <v>35</v>
      </c>
      <c r="J111" s="5" t="s">
        <v>118</v>
      </c>
      <c r="K111" t="s">
        <v>60</v>
      </c>
      <c r="L111">
        <v>15</v>
      </c>
      <c r="M111">
        <v>350</v>
      </c>
      <c r="N111">
        <v>250</v>
      </c>
      <c r="O111">
        <v>300</v>
      </c>
      <c r="P111">
        <v>0.8</v>
      </c>
      <c r="R111" t="s">
        <v>112</v>
      </c>
    </row>
    <row r="112" spans="1:18">
      <c r="A112" t="s">
        <v>54</v>
      </c>
      <c r="B112" t="s">
        <v>10</v>
      </c>
      <c r="C112" t="s">
        <v>10</v>
      </c>
      <c r="D112" t="s">
        <v>2</v>
      </c>
      <c r="E112" t="s">
        <v>32</v>
      </c>
      <c r="F112" t="s">
        <v>71</v>
      </c>
      <c r="G112" t="s">
        <v>35</v>
      </c>
      <c r="H112">
        <v>3</v>
      </c>
      <c r="I112" s="5" t="s">
        <v>35</v>
      </c>
      <c r="J112" s="5" t="s">
        <v>118</v>
      </c>
      <c r="K112" t="s">
        <v>60</v>
      </c>
      <c r="L112">
        <v>15</v>
      </c>
      <c r="M112">
        <v>350</v>
      </c>
      <c r="N112">
        <v>250</v>
      </c>
      <c r="O112">
        <v>300</v>
      </c>
      <c r="P112">
        <v>0.8</v>
      </c>
      <c r="R112" t="s">
        <v>112</v>
      </c>
    </row>
    <row r="113" spans="1:18">
      <c r="A113" t="s">
        <v>81</v>
      </c>
      <c r="B113" t="s">
        <v>10</v>
      </c>
      <c r="C113" t="s">
        <v>93</v>
      </c>
      <c r="D113" t="s">
        <v>2</v>
      </c>
      <c r="E113" t="s">
        <v>32</v>
      </c>
      <c r="F113" t="s">
        <v>71</v>
      </c>
      <c r="G113" t="s">
        <v>35</v>
      </c>
      <c r="H113">
        <v>3</v>
      </c>
      <c r="I113" s="5" t="s">
        <v>35</v>
      </c>
      <c r="J113" s="5" t="s">
        <v>118</v>
      </c>
      <c r="K113" t="s">
        <v>60</v>
      </c>
      <c r="L113">
        <v>15</v>
      </c>
      <c r="M113">
        <v>350</v>
      </c>
      <c r="N113">
        <v>250</v>
      </c>
      <c r="O113">
        <v>300</v>
      </c>
      <c r="P113">
        <v>0.8</v>
      </c>
      <c r="R113" t="s">
        <v>112</v>
      </c>
    </row>
    <row r="114" spans="1:18">
      <c r="A114" t="s">
        <v>52</v>
      </c>
      <c r="B114" t="s">
        <v>10</v>
      </c>
      <c r="C114" t="s">
        <v>94</v>
      </c>
      <c r="D114" t="s">
        <v>2</v>
      </c>
      <c r="E114" t="s">
        <v>32</v>
      </c>
      <c r="F114" t="s">
        <v>71</v>
      </c>
      <c r="G114" t="s">
        <v>35</v>
      </c>
      <c r="H114">
        <v>3</v>
      </c>
      <c r="I114" s="5" t="s">
        <v>35</v>
      </c>
      <c r="J114" s="5" t="s">
        <v>118</v>
      </c>
      <c r="K114" t="s">
        <v>60</v>
      </c>
      <c r="L114">
        <v>15</v>
      </c>
      <c r="M114">
        <v>350</v>
      </c>
      <c r="N114">
        <v>250</v>
      </c>
      <c r="O114">
        <v>300</v>
      </c>
      <c r="P114">
        <v>0.8</v>
      </c>
      <c r="R114" t="s">
        <v>112</v>
      </c>
    </row>
    <row r="115" spans="1:18">
      <c r="A115" t="s">
        <v>92</v>
      </c>
      <c r="B115" t="s">
        <v>10</v>
      </c>
      <c r="C115" t="s">
        <v>95</v>
      </c>
      <c r="D115" t="s">
        <v>2</v>
      </c>
      <c r="E115" t="s">
        <v>32</v>
      </c>
      <c r="F115" t="s">
        <v>71</v>
      </c>
      <c r="G115">
        <v>3</v>
      </c>
      <c r="H115">
        <v>3</v>
      </c>
      <c r="I115" s="5" t="s">
        <v>122</v>
      </c>
      <c r="J115" s="5" t="s">
        <v>118</v>
      </c>
      <c r="K115" t="s">
        <v>60</v>
      </c>
      <c r="L115">
        <v>150</v>
      </c>
      <c r="M115">
        <v>350</v>
      </c>
      <c r="N115">
        <v>250</v>
      </c>
      <c r="O115">
        <v>300</v>
      </c>
      <c r="P115">
        <v>0.8</v>
      </c>
      <c r="Q115">
        <v>2425</v>
      </c>
    </row>
    <row r="116" spans="1:18">
      <c r="A116" t="s">
        <v>78</v>
      </c>
      <c r="B116" t="s">
        <v>10</v>
      </c>
      <c r="C116" t="s">
        <v>108</v>
      </c>
      <c r="D116" t="s">
        <v>2</v>
      </c>
      <c r="E116" t="s">
        <v>32</v>
      </c>
      <c r="F116" t="s">
        <v>71</v>
      </c>
      <c r="G116" t="s">
        <v>35</v>
      </c>
      <c r="H116">
        <v>3</v>
      </c>
      <c r="I116" s="5" t="s">
        <v>35</v>
      </c>
      <c r="J116" s="5" t="s">
        <v>118</v>
      </c>
      <c r="K116" t="s">
        <v>60</v>
      </c>
      <c r="L116">
        <v>15</v>
      </c>
      <c r="M116">
        <v>350</v>
      </c>
      <c r="N116">
        <v>250</v>
      </c>
      <c r="O116">
        <v>300</v>
      </c>
      <c r="P116">
        <v>0.8</v>
      </c>
      <c r="R116" t="s">
        <v>112</v>
      </c>
    </row>
    <row r="117" spans="1:18">
      <c r="A117" t="s">
        <v>1</v>
      </c>
      <c r="B117" t="s">
        <v>97</v>
      </c>
      <c r="C117" t="s">
        <v>98</v>
      </c>
      <c r="D117" t="s">
        <v>2</v>
      </c>
      <c r="E117" t="s">
        <v>32</v>
      </c>
      <c r="F117" t="s">
        <v>71</v>
      </c>
      <c r="G117" t="s">
        <v>35</v>
      </c>
      <c r="H117">
        <v>3</v>
      </c>
      <c r="I117" s="5" t="s">
        <v>35</v>
      </c>
      <c r="J117" s="5" t="s">
        <v>118</v>
      </c>
      <c r="K117" t="s">
        <v>22</v>
      </c>
      <c r="L117">
        <v>100</v>
      </c>
      <c r="M117">
        <v>285</v>
      </c>
      <c r="N117">
        <v>200</v>
      </c>
      <c r="O117">
        <v>275</v>
      </c>
    </row>
    <row r="118" spans="1:18">
      <c r="A118" t="s">
        <v>96</v>
      </c>
      <c r="B118" t="s">
        <v>99</v>
      </c>
      <c r="C118" t="s">
        <v>98</v>
      </c>
      <c r="D118" t="s">
        <v>2</v>
      </c>
      <c r="E118" t="s">
        <v>32</v>
      </c>
      <c r="F118" t="s">
        <v>71</v>
      </c>
      <c r="G118" t="s">
        <v>35</v>
      </c>
      <c r="H118">
        <v>3</v>
      </c>
      <c r="I118" s="5" t="s">
        <v>35</v>
      </c>
      <c r="J118" s="5" t="s">
        <v>118</v>
      </c>
      <c r="K118" t="s">
        <v>22</v>
      </c>
      <c r="L118">
        <v>50</v>
      </c>
      <c r="M118">
        <v>350</v>
      </c>
      <c r="N118">
        <v>200</v>
      </c>
      <c r="O118">
        <v>275</v>
      </c>
    </row>
    <row r="119" spans="1:18">
      <c r="A119" t="s">
        <v>1</v>
      </c>
      <c r="B119" t="s">
        <v>97</v>
      </c>
      <c r="C119" t="s">
        <v>100</v>
      </c>
      <c r="D119" t="s">
        <v>2</v>
      </c>
      <c r="E119" t="s">
        <v>32</v>
      </c>
      <c r="F119" t="s">
        <v>71</v>
      </c>
      <c r="G119" t="s">
        <v>35</v>
      </c>
      <c r="H119">
        <v>3</v>
      </c>
      <c r="I119" s="5" t="s">
        <v>35</v>
      </c>
      <c r="J119" s="5" t="s">
        <v>118</v>
      </c>
      <c r="K119" t="s">
        <v>22</v>
      </c>
      <c r="L119">
        <v>100</v>
      </c>
      <c r="M119">
        <v>285</v>
      </c>
      <c r="N119">
        <v>200</v>
      </c>
      <c r="O119">
        <v>275</v>
      </c>
    </row>
    <row r="120" spans="1:18">
      <c r="A120" t="s">
        <v>81</v>
      </c>
      <c r="B120" t="s">
        <v>102</v>
      </c>
      <c r="C120" t="s">
        <v>103</v>
      </c>
      <c r="D120" t="s">
        <v>2</v>
      </c>
      <c r="E120" t="s">
        <v>32</v>
      </c>
      <c r="F120" t="s">
        <v>71</v>
      </c>
      <c r="G120" t="s">
        <v>35</v>
      </c>
      <c r="H120">
        <v>3</v>
      </c>
      <c r="I120" s="5" t="s">
        <v>35</v>
      </c>
      <c r="J120" s="5" t="s">
        <v>118</v>
      </c>
      <c r="K120" t="s">
        <v>22</v>
      </c>
      <c r="L120">
        <v>100</v>
      </c>
      <c r="M120">
        <v>285</v>
      </c>
      <c r="N120">
        <v>200</v>
      </c>
      <c r="O120">
        <v>275</v>
      </c>
    </row>
    <row r="121" spans="1:18">
      <c r="A121" t="s">
        <v>81</v>
      </c>
      <c r="B121" t="s">
        <v>97</v>
      </c>
      <c r="C121" t="s">
        <v>104</v>
      </c>
      <c r="D121" t="s">
        <v>2</v>
      </c>
      <c r="E121" t="s">
        <v>32</v>
      </c>
      <c r="F121" t="s">
        <v>71</v>
      </c>
      <c r="G121" t="s">
        <v>35</v>
      </c>
      <c r="H121">
        <v>3</v>
      </c>
      <c r="I121" s="5" t="s">
        <v>35</v>
      </c>
      <c r="J121" s="5" t="s">
        <v>118</v>
      </c>
      <c r="K121" t="s">
        <v>22</v>
      </c>
      <c r="L121">
        <v>100</v>
      </c>
      <c r="M121">
        <v>285</v>
      </c>
      <c r="N121">
        <v>200</v>
      </c>
      <c r="O121">
        <v>275</v>
      </c>
    </row>
    <row r="122" spans="1:18">
      <c r="A122" t="s">
        <v>1</v>
      </c>
      <c r="B122" t="s">
        <v>97</v>
      </c>
      <c r="C122" t="s">
        <v>98</v>
      </c>
      <c r="D122" t="s">
        <v>2</v>
      </c>
      <c r="E122" t="s">
        <v>32</v>
      </c>
      <c r="F122" t="s">
        <v>71</v>
      </c>
      <c r="G122" t="s">
        <v>35</v>
      </c>
      <c r="H122">
        <v>3</v>
      </c>
      <c r="I122" s="5" t="s">
        <v>35</v>
      </c>
      <c r="J122" s="5" t="s">
        <v>118</v>
      </c>
      <c r="K122" t="s">
        <v>60</v>
      </c>
      <c r="L122">
        <v>100</v>
      </c>
      <c r="M122">
        <v>350</v>
      </c>
      <c r="N122">
        <v>220</v>
      </c>
      <c r="O122">
        <v>300</v>
      </c>
    </row>
    <row r="123" spans="1:18">
      <c r="A123" t="s">
        <v>96</v>
      </c>
      <c r="B123" t="s">
        <v>99</v>
      </c>
      <c r="C123" t="s">
        <v>98</v>
      </c>
      <c r="D123" t="s">
        <v>2</v>
      </c>
      <c r="E123" t="s">
        <v>32</v>
      </c>
      <c r="F123" t="s">
        <v>71</v>
      </c>
      <c r="G123" t="s">
        <v>35</v>
      </c>
      <c r="H123">
        <v>3</v>
      </c>
      <c r="I123" s="5" t="s">
        <v>35</v>
      </c>
      <c r="J123" s="5" t="s">
        <v>118</v>
      </c>
      <c r="K123" t="s">
        <v>60</v>
      </c>
      <c r="L123">
        <v>50</v>
      </c>
      <c r="M123">
        <v>350</v>
      </c>
      <c r="N123">
        <v>220</v>
      </c>
      <c r="O123">
        <v>270</v>
      </c>
    </row>
    <row r="124" spans="1:18">
      <c r="A124" t="s">
        <v>1</v>
      </c>
      <c r="B124" t="s">
        <v>97</v>
      </c>
      <c r="C124" t="s">
        <v>100</v>
      </c>
      <c r="D124" t="s">
        <v>2</v>
      </c>
      <c r="E124" t="s">
        <v>32</v>
      </c>
      <c r="F124" t="s">
        <v>71</v>
      </c>
      <c r="G124" t="s">
        <v>35</v>
      </c>
      <c r="H124">
        <v>3</v>
      </c>
      <c r="I124" s="5" t="s">
        <v>35</v>
      </c>
      <c r="J124" s="5" t="s">
        <v>118</v>
      </c>
      <c r="K124" t="s">
        <v>60</v>
      </c>
      <c r="L124">
        <v>100</v>
      </c>
      <c r="M124">
        <v>350</v>
      </c>
      <c r="N124">
        <v>220</v>
      </c>
      <c r="O124">
        <v>300</v>
      </c>
    </row>
    <row r="125" spans="1:18">
      <c r="A125" t="s">
        <v>81</v>
      </c>
      <c r="B125" t="s">
        <v>102</v>
      </c>
      <c r="C125" t="s">
        <v>103</v>
      </c>
      <c r="D125" t="s">
        <v>2</v>
      </c>
      <c r="E125" t="s">
        <v>32</v>
      </c>
      <c r="F125" t="s">
        <v>71</v>
      </c>
      <c r="G125" t="s">
        <v>35</v>
      </c>
      <c r="H125">
        <v>3</v>
      </c>
      <c r="I125" s="5" t="s">
        <v>35</v>
      </c>
      <c r="J125" s="5" t="s">
        <v>118</v>
      </c>
      <c r="K125" t="s">
        <v>60</v>
      </c>
      <c r="L125">
        <v>100</v>
      </c>
      <c r="M125">
        <v>285</v>
      </c>
      <c r="N125">
        <v>200</v>
      </c>
      <c r="O125">
        <v>275</v>
      </c>
    </row>
    <row r="126" spans="1:18">
      <c r="A126" t="s">
        <v>1</v>
      </c>
      <c r="B126" t="s">
        <v>97</v>
      </c>
      <c r="C126" t="s">
        <v>98</v>
      </c>
      <c r="D126" t="s">
        <v>2</v>
      </c>
      <c r="E126" t="s">
        <v>20</v>
      </c>
      <c r="F126" t="s">
        <v>40</v>
      </c>
      <c r="G126" t="s">
        <v>35</v>
      </c>
      <c r="H126">
        <v>3</v>
      </c>
      <c r="I126" s="5" t="s">
        <v>35</v>
      </c>
      <c r="J126" s="5" t="s">
        <v>118</v>
      </c>
      <c r="K126" t="s">
        <v>22</v>
      </c>
      <c r="L126">
        <v>100</v>
      </c>
      <c r="M126">
        <v>285</v>
      </c>
      <c r="N126">
        <v>200</v>
      </c>
      <c r="O126">
        <v>275</v>
      </c>
    </row>
    <row r="127" spans="1:18">
      <c r="A127" t="s">
        <v>96</v>
      </c>
      <c r="B127" t="s">
        <v>99</v>
      </c>
      <c r="C127" t="s">
        <v>98</v>
      </c>
      <c r="D127" t="s">
        <v>2</v>
      </c>
      <c r="E127" t="s">
        <v>20</v>
      </c>
      <c r="F127" t="s">
        <v>40</v>
      </c>
      <c r="G127" t="s">
        <v>35</v>
      </c>
      <c r="H127">
        <v>3</v>
      </c>
      <c r="I127" s="5" t="s">
        <v>35</v>
      </c>
      <c r="J127" s="5" t="s">
        <v>118</v>
      </c>
      <c r="K127" t="s">
        <v>22</v>
      </c>
      <c r="L127">
        <v>50</v>
      </c>
      <c r="M127">
        <v>350</v>
      </c>
      <c r="N127">
        <v>200</v>
      </c>
      <c r="O127">
        <v>275</v>
      </c>
    </row>
    <row r="128" spans="1:18">
      <c r="A128" t="s">
        <v>1</v>
      </c>
      <c r="B128" t="s">
        <v>97</v>
      </c>
      <c r="C128" t="s">
        <v>100</v>
      </c>
      <c r="D128" t="s">
        <v>2</v>
      </c>
      <c r="E128" t="s">
        <v>20</v>
      </c>
      <c r="F128" t="s">
        <v>40</v>
      </c>
      <c r="G128" t="s">
        <v>35</v>
      </c>
      <c r="H128">
        <v>3</v>
      </c>
      <c r="I128" s="5" t="s">
        <v>35</v>
      </c>
      <c r="J128" s="5" t="s">
        <v>118</v>
      </c>
      <c r="K128" t="s">
        <v>22</v>
      </c>
      <c r="L128">
        <v>100</v>
      </c>
      <c r="M128">
        <v>285</v>
      </c>
      <c r="N128">
        <v>200</v>
      </c>
      <c r="O128">
        <v>275</v>
      </c>
    </row>
    <row r="129" spans="1:18">
      <c r="A129" t="s">
        <v>81</v>
      </c>
      <c r="B129" t="s">
        <v>102</v>
      </c>
      <c r="C129" t="s">
        <v>103</v>
      </c>
      <c r="D129" t="s">
        <v>2</v>
      </c>
      <c r="E129" t="s">
        <v>20</v>
      </c>
      <c r="F129" t="s">
        <v>40</v>
      </c>
      <c r="G129" t="s">
        <v>35</v>
      </c>
      <c r="H129">
        <v>3</v>
      </c>
      <c r="I129" s="5" t="s">
        <v>35</v>
      </c>
      <c r="J129" s="5" t="s">
        <v>118</v>
      </c>
      <c r="K129" t="s">
        <v>22</v>
      </c>
      <c r="L129">
        <v>100</v>
      </c>
      <c r="M129">
        <v>285</v>
      </c>
      <c r="N129">
        <v>200</v>
      </c>
      <c r="O129">
        <v>275</v>
      </c>
    </row>
    <row r="130" spans="1:18">
      <c r="A130" t="s">
        <v>81</v>
      </c>
      <c r="B130" t="s">
        <v>97</v>
      </c>
      <c r="C130" t="s">
        <v>104</v>
      </c>
      <c r="D130" t="s">
        <v>2</v>
      </c>
      <c r="E130" t="s">
        <v>20</v>
      </c>
      <c r="F130" t="s">
        <v>40</v>
      </c>
      <c r="G130" t="s">
        <v>35</v>
      </c>
      <c r="H130">
        <v>3</v>
      </c>
      <c r="I130" s="5" t="s">
        <v>35</v>
      </c>
      <c r="J130" s="5" t="s">
        <v>118</v>
      </c>
      <c r="K130" t="s">
        <v>22</v>
      </c>
      <c r="L130">
        <v>100</v>
      </c>
      <c r="M130">
        <v>285</v>
      </c>
      <c r="N130">
        <v>200</v>
      </c>
      <c r="O130">
        <v>275</v>
      </c>
    </row>
    <row r="131" spans="1:18">
      <c r="A131" t="s">
        <v>1</v>
      </c>
      <c r="B131" t="s">
        <v>97</v>
      </c>
      <c r="C131" t="s">
        <v>98</v>
      </c>
      <c r="D131" t="s">
        <v>2</v>
      </c>
      <c r="E131" t="s">
        <v>20</v>
      </c>
      <c r="F131" t="s">
        <v>40</v>
      </c>
      <c r="G131" t="s">
        <v>35</v>
      </c>
      <c r="H131">
        <v>3</v>
      </c>
      <c r="I131" s="5" t="s">
        <v>35</v>
      </c>
      <c r="J131" s="5" t="s">
        <v>118</v>
      </c>
      <c r="K131" t="s">
        <v>60</v>
      </c>
      <c r="L131">
        <v>100</v>
      </c>
      <c r="M131">
        <v>350</v>
      </c>
      <c r="N131">
        <v>220</v>
      </c>
      <c r="O131">
        <v>300</v>
      </c>
    </row>
    <row r="132" spans="1:18">
      <c r="A132" t="s">
        <v>96</v>
      </c>
      <c r="B132" t="s">
        <v>99</v>
      </c>
      <c r="C132" t="s">
        <v>98</v>
      </c>
      <c r="D132" t="s">
        <v>2</v>
      </c>
      <c r="E132" t="s">
        <v>20</v>
      </c>
      <c r="F132" t="s">
        <v>40</v>
      </c>
      <c r="G132" t="s">
        <v>35</v>
      </c>
      <c r="H132">
        <v>3</v>
      </c>
      <c r="I132" s="5" t="s">
        <v>35</v>
      </c>
      <c r="J132" s="5" t="s">
        <v>118</v>
      </c>
      <c r="K132" t="s">
        <v>60</v>
      </c>
      <c r="L132">
        <v>50</v>
      </c>
      <c r="M132">
        <v>350</v>
      </c>
      <c r="N132">
        <v>220</v>
      </c>
      <c r="O132">
        <v>270</v>
      </c>
    </row>
    <row r="133" spans="1:18">
      <c r="A133" t="s">
        <v>1</v>
      </c>
      <c r="B133" t="s">
        <v>97</v>
      </c>
      <c r="C133" t="s">
        <v>100</v>
      </c>
      <c r="D133" t="s">
        <v>2</v>
      </c>
      <c r="E133" t="s">
        <v>20</v>
      </c>
      <c r="F133" t="s">
        <v>40</v>
      </c>
      <c r="G133" t="s">
        <v>35</v>
      </c>
      <c r="H133">
        <v>3</v>
      </c>
      <c r="I133" s="5" t="s">
        <v>35</v>
      </c>
      <c r="J133" s="5" t="s">
        <v>118</v>
      </c>
      <c r="K133" t="s">
        <v>60</v>
      </c>
      <c r="L133">
        <v>100</v>
      </c>
      <c r="M133">
        <v>350</v>
      </c>
      <c r="N133">
        <v>220</v>
      </c>
      <c r="O133">
        <v>300</v>
      </c>
    </row>
    <row r="134" spans="1:18">
      <c r="A134" t="s">
        <v>81</v>
      </c>
      <c r="B134" t="s">
        <v>102</v>
      </c>
      <c r="C134" t="s">
        <v>103</v>
      </c>
      <c r="D134" t="s">
        <v>2</v>
      </c>
      <c r="E134" t="s">
        <v>20</v>
      </c>
      <c r="F134" t="s">
        <v>40</v>
      </c>
      <c r="G134" t="s">
        <v>35</v>
      </c>
      <c r="H134">
        <v>3</v>
      </c>
      <c r="I134" s="5" t="s">
        <v>35</v>
      </c>
      <c r="J134" s="5" t="s">
        <v>118</v>
      </c>
      <c r="K134" t="s">
        <v>60</v>
      </c>
      <c r="L134">
        <v>100</v>
      </c>
      <c r="M134">
        <v>285</v>
      </c>
      <c r="N134">
        <v>200</v>
      </c>
      <c r="O134">
        <v>275</v>
      </c>
    </row>
    <row r="135" spans="1:18">
      <c r="A135" t="s">
        <v>1</v>
      </c>
      <c r="B135" t="s">
        <v>101</v>
      </c>
      <c r="C135" t="s">
        <v>39</v>
      </c>
      <c r="D135" t="s">
        <v>2</v>
      </c>
      <c r="E135" t="s">
        <v>32</v>
      </c>
      <c r="F135" t="s">
        <v>71</v>
      </c>
      <c r="G135" t="s">
        <v>35</v>
      </c>
      <c r="H135">
        <v>3</v>
      </c>
      <c r="I135" s="5" t="s">
        <v>35</v>
      </c>
      <c r="J135" s="5" t="s">
        <v>118</v>
      </c>
      <c r="K135" t="s">
        <v>22</v>
      </c>
      <c r="L135">
        <v>50</v>
      </c>
      <c r="M135">
        <v>350</v>
      </c>
      <c r="N135">
        <v>180</v>
      </c>
      <c r="O135">
        <v>300</v>
      </c>
    </row>
    <row r="136" spans="1:18">
      <c r="A136" t="s">
        <v>1</v>
      </c>
      <c r="B136" t="s">
        <v>101</v>
      </c>
      <c r="C136" t="s">
        <v>39</v>
      </c>
      <c r="D136" t="s">
        <v>2</v>
      </c>
      <c r="E136" t="s">
        <v>20</v>
      </c>
      <c r="F136" t="s">
        <v>40</v>
      </c>
      <c r="G136" t="s">
        <v>35</v>
      </c>
      <c r="H136">
        <v>3</v>
      </c>
      <c r="I136" s="5" t="s">
        <v>35</v>
      </c>
      <c r="J136" s="5" t="s">
        <v>118</v>
      </c>
      <c r="K136" t="s">
        <v>22</v>
      </c>
      <c r="L136">
        <v>50</v>
      </c>
      <c r="M136">
        <v>350</v>
      </c>
      <c r="N136">
        <v>180</v>
      </c>
      <c r="O136">
        <v>300</v>
      </c>
    </row>
    <row r="137" spans="1:18">
      <c r="A137" t="s">
        <v>1</v>
      </c>
      <c r="B137" t="s">
        <v>101</v>
      </c>
      <c r="C137" t="s">
        <v>39</v>
      </c>
      <c r="D137" t="s">
        <v>2</v>
      </c>
      <c r="E137" t="s">
        <v>32</v>
      </c>
      <c r="F137" t="s">
        <v>71</v>
      </c>
      <c r="G137" t="s">
        <v>35</v>
      </c>
      <c r="H137">
        <v>3</v>
      </c>
      <c r="I137" s="5" t="s">
        <v>35</v>
      </c>
      <c r="J137" s="5" t="s">
        <v>118</v>
      </c>
      <c r="K137" t="s">
        <v>60</v>
      </c>
      <c r="L137">
        <v>50</v>
      </c>
      <c r="M137">
        <v>350</v>
      </c>
      <c r="N137">
        <v>200</v>
      </c>
      <c r="O137">
        <v>300</v>
      </c>
    </row>
    <row r="138" spans="1:18">
      <c r="A138" t="s">
        <v>1</v>
      </c>
      <c r="B138" t="s">
        <v>101</v>
      </c>
      <c r="C138" t="s">
        <v>39</v>
      </c>
      <c r="D138" t="s">
        <v>2</v>
      </c>
      <c r="E138" t="s">
        <v>20</v>
      </c>
      <c r="F138" t="s">
        <v>40</v>
      </c>
      <c r="G138" t="s">
        <v>35</v>
      </c>
      <c r="H138">
        <v>3</v>
      </c>
      <c r="I138" s="5" t="s">
        <v>35</v>
      </c>
      <c r="J138" s="5" t="s">
        <v>118</v>
      </c>
      <c r="K138" t="s">
        <v>60</v>
      </c>
      <c r="L138">
        <v>50</v>
      </c>
      <c r="M138">
        <v>350</v>
      </c>
      <c r="N138">
        <v>200</v>
      </c>
      <c r="O138">
        <v>300</v>
      </c>
    </row>
    <row r="139" spans="1:18">
      <c r="A139" t="s">
        <v>109</v>
      </c>
      <c r="B139" t="s">
        <v>110</v>
      </c>
      <c r="C139" t="s">
        <v>39</v>
      </c>
      <c r="D139" t="s">
        <v>2</v>
      </c>
      <c r="E139" t="s">
        <v>32</v>
      </c>
      <c r="F139" t="s">
        <v>71</v>
      </c>
      <c r="G139" t="s">
        <v>35</v>
      </c>
      <c r="H139">
        <v>3</v>
      </c>
      <c r="I139" s="5" t="s">
        <v>35</v>
      </c>
      <c r="J139" s="5" t="s">
        <v>118</v>
      </c>
      <c r="K139" t="s">
        <v>22</v>
      </c>
      <c r="L139">
        <v>50</v>
      </c>
      <c r="M139">
        <v>300</v>
      </c>
      <c r="N139">
        <v>200</v>
      </c>
      <c r="O139">
        <v>325</v>
      </c>
      <c r="R139" t="s">
        <v>113</v>
      </c>
    </row>
    <row r="140" spans="1:18">
      <c r="A140" t="s">
        <v>109</v>
      </c>
      <c r="B140" t="s">
        <v>110</v>
      </c>
      <c r="C140" t="s">
        <v>39</v>
      </c>
      <c r="D140" t="s">
        <v>2</v>
      </c>
      <c r="E140" t="s">
        <v>20</v>
      </c>
      <c r="F140" t="s">
        <v>40</v>
      </c>
      <c r="G140" t="s">
        <v>35</v>
      </c>
      <c r="H140">
        <v>3</v>
      </c>
      <c r="I140" s="5" t="s">
        <v>35</v>
      </c>
      <c r="J140" s="5" t="s">
        <v>118</v>
      </c>
      <c r="K140" t="s">
        <v>22</v>
      </c>
      <c r="L140">
        <v>50</v>
      </c>
      <c r="M140">
        <v>300</v>
      </c>
      <c r="N140">
        <v>200</v>
      </c>
      <c r="O140">
        <v>325</v>
      </c>
      <c r="R140" t="s">
        <v>113</v>
      </c>
    </row>
    <row r="141" spans="1:18">
      <c r="A141" t="s">
        <v>106</v>
      </c>
      <c r="B141" t="s">
        <v>111</v>
      </c>
      <c r="C141" t="s">
        <v>39</v>
      </c>
      <c r="D141" t="s">
        <v>2</v>
      </c>
      <c r="E141" t="s">
        <v>32</v>
      </c>
      <c r="F141" t="s">
        <v>71</v>
      </c>
      <c r="G141" t="s">
        <v>35</v>
      </c>
      <c r="H141">
        <v>3</v>
      </c>
      <c r="I141" s="5" t="s">
        <v>35</v>
      </c>
      <c r="J141" s="5" t="s">
        <v>118</v>
      </c>
      <c r="K141" t="s">
        <v>22</v>
      </c>
      <c r="L141">
        <v>150</v>
      </c>
      <c r="M141">
        <v>350</v>
      </c>
      <c r="N141">
        <v>225</v>
      </c>
      <c r="O141">
        <v>300</v>
      </c>
      <c r="Q141">
        <v>4005</v>
      </c>
    </row>
    <row r="142" spans="1:18">
      <c r="A142" t="s">
        <v>106</v>
      </c>
      <c r="B142" t="s">
        <v>111</v>
      </c>
      <c r="C142" t="s">
        <v>39</v>
      </c>
      <c r="D142" t="s">
        <v>2</v>
      </c>
      <c r="E142" t="s">
        <v>20</v>
      </c>
      <c r="F142" t="s">
        <v>40</v>
      </c>
      <c r="G142" t="s">
        <v>35</v>
      </c>
      <c r="H142">
        <v>3</v>
      </c>
      <c r="I142" s="5" t="s">
        <v>35</v>
      </c>
      <c r="J142" s="5" t="s">
        <v>118</v>
      </c>
      <c r="K142" t="s">
        <v>22</v>
      </c>
      <c r="L142">
        <v>150</v>
      </c>
      <c r="M142">
        <v>350</v>
      </c>
      <c r="N142">
        <v>225</v>
      </c>
      <c r="O142">
        <v>300</v>
      </c>
      <c r="Q142">
        <v>4005</v>
      </c>
    </row>
    <row r="143" spans="1:18">
      <c r="A143" t="s">
        <v>106</v>
      </c>
      <c r="B143" t="s">
        <v>111</v>
      </c>
      <c r="C143" t="s">
        <v>39</v>
      </c>
      <c r="D143" t="s">
        <v>2</v>
      </c>
      <c r="E143" t="s">
        <v>32</v>
      </c>
      <c r="F143" t="s">
        <v>71</v>
      </c>
      <c r="G143" t="s">
        <v>35</v>
      </c>
      <c r="H143">
        <v>3</v>
      </c>
      <c r="I143" s="5" t="s">
        <v>35</v>
      </c>
      <c r="J143" s="5" t="s">
        <v>118</v>
      </c>
      <c r="K143" t="s">
        <v>60</v>
      </c>
      <c r="L143">
        <v>150</v>
      </c>
      <c r="M143">
        <v>350</v>
      </c>
      <c r="N143">
        <v>225</v>
      </c>
      <c r="O143">
        <v>300</v>
      </c>
      <c r="Q143">
        <v>2670</v>
      </c>
    </row>
    <row r="144" spans="1:18">
      <c r="A144" t="s">
        <v>106</v>
      </c>
      <c r="B144" t="s">
        <v>111</v>
      </c>
      <c r="C144" t="s">
        <v>39</v>
      </c>
      <c r="D144" t="s">
        <v>2</v>
      </c>
      <c r="E144" t="s">
        <v>20</v>
      </c>
      <c r="F144" t="s">
        <v>40</v>
      </c>
      <c r="G144" t="s">
        <v>35</v>
      </c>
      <c r="H144">
        <v>3</v>
      </c>
      <c r="I144" s="5" t="s">
        <v>35</v>
      </c>
      <c r="J144" s="5" t="s">
        <v>118</v>
      </c>
      <c r="K144" t="s">
        <v>60</v>
      </c>
      <c r="L144">
        <v>150</v>
      </c>
      <c r="M144">
        <v>350</v>
      </c>
      <c r="N144">
        <v>225</v>
      </c>
      <c r="O144">
        <v>300</v>
      </c>
      <c r="Q144">
        <v>2670</v>
      </c>
    </row>
    <row r="145" spans="1:17">
      <c r="A145" t="s">
        <v>63</v>
      </c>
      <c r="B145" t="s">
        <v>64</v>
      </c>
      <c r="C145" t="s">
        <v>22</v>
      </c>
      <c r="D145" t="s">
        <v>2</v>
      </c>
      <c r="E145" t="s">
        <v>21</v>
      </c>
      <c r="F145" t="s">
        <v>39</v>
      </c>
      <c r="G145" t="s">
        <v>35</v>
      </c>
      <c r="H145">
        <v>3</v>
      </c>
      <c r="I145" s="5" t="s">
        <v>35</v>
      </c>
      <c r="J145" s="5" t="s">
        <v>118</v>
      </c>
      <c r="K145" t="s">
        <v>22</v>
      </c>
      <c r="L145">
        <v>100</v>
      </c>
      <c r="M145">
        <v>300</v>
      </c>
      <c r="N145">
        <v>230</v>
      </c>
      <c r="O145">
        <v>350</v>
      </c>
    </row>
    <row r="146" spans="1:17">
      <c r="A146" t="s">
        <v>54</v>
      </c>
      <c r="B146" t="s">
        <v>10</v>
      </c>
      <c r="C146" t="s">
        <v>10</v>
      </c>
      <c r="D146" t="s">
        <v>2</v>
      </c>
      <c r="E146" t="s">
        <v>21</v>
      </c>
      <c r="F146" t="s">
        <v>39</v>
      </c>
      <c r="G146" t="s">
        <v>35</v>
      </c>
      <c r="H146">
        <v>3</v>
      </c>
      <c r="I146" s="5" t="s">
        <v>35</v>
      </c>
      <c r="J146" s="5" t="s">
        <v>118</v>
      </c>
      <c r="K146" t="s">
        <v>22</v>
      </c>
      <c r="L146">
        <v>80</v>
      </c>
      <c r="M146">
        <v>350</v>
      </c>
      <c r="N146">
        <v>265</v>
      </c>
      <c r="O146">
        <v>325</v>
      </c>
      <c r="P146">
        <v>0.84</v>
      </c>
    </row>
    <row r="147" spans="1:17">
      <c r="A147" t="s">
        <v>81</v>
      </c>
      <c r="B147" t="s">
        <v>10</v>
      </c>
      <c r="C147" t="s">
        <v>93</v>
      </c>
      <c r="D147" t="s">
        <v>2</v>
      </c>
      <c r="E147" t="s">
        <v>21</v>
      </c>
      <c r="F147" t="s">
        <v>39</v>
      </c>
      <c r="G147" t="s">
        <v>35</v>
      </c>
      <c r="H147">
        <v>3</v>
      </c>
      <c r="I147" s="5" t="s">
        <v>35</v>
      </c>
      <c r="J147" s="5" t="s">
        <v>118</v>
      </c>
      <c r="K147" t="s">
        <v>22</v>
      </c>
      <c r="L147">
        <v>80</v>
      </c>
      <c r="M147">
        <v>350</v>
      </c>
      <c r="N147">
        <v>265</v>
      </c>
      <c r="O147">
        <v>325</v>
      </c>
      <c r="P147">
        <v>0.84</v>
      </c>
    </row>
    <row r="148" spans="1:17">
      <c r="A148" t="s">
        <v>52</v>
      </c>
      <c r="B148" t="s">
        <v>10</v>
      </c>
      <c r="C148" t="s">
        <v>94</v>
      </c>
      <c r="D148" t="s">
        <v>2</v>
      </c>
      <c r="E148" t="s">
        <v>21</v>
      </c>
      <c r="F148" t="s">
        <v>39</v>
      </c>
      <c r="G148" t="s">
        <v>35</v>
      </c>
      <c r="H148">
        <v>3</v>
      </c>
      <c r="I148" s="5" t="s">
        <v>35</v>
      </c>
      <c r="J148" s="5" t="s">
        <v>118</v>
      </c>
      <c r="K148" t="s">
        <v>22</v>
      </c>
      <c r="L148">
        <v>80</v>
      </c>
      <c r="M148">
        <v>350</v>
      </c>
      <c r="N148">
        <v>265</v>
      </c>
      <c r="O148">
        <v>325</v>
      </c>
      <c r="P148">
        <v>0.84</v>
      </c>
    </row>
    <row r="149" spans="1:17">
      <c r="A149" t="s">
        <v>92</v>
      </c>
      <c r="B149" t="s">
        <v>10</v>
      </c>
      <c r="C149" t="s">
        <v>95</v>
      </c>
      <c r="D149" t="s">
        <v>2</v>
      </c>
      <c r="E149" t="s">
        <v>21</v>
      </c>
      <c r="F149" t="s">
        <v>39</v>
      </c>
      <c r="G149">
        <v>3</v>
      </c>
      <c r="H149">
        <v>3</v>
      </c>
      <c r="I149" s="5" t="s">
        <v>122</v>
      </c>
      <c r="J149" s="5" t="s">
        <v>118</v>
      </c>
      <c r="K149" t="s">
        <v>22</v>
      </c>
      <c r="L149">
        <v>80</v>
      </c>
      <c r="M149">
        <v>350</v>
      </c>
      <c r="N149">
        <v>265</v>
      </c>
      <c r="O149">
        <v>325</v>
      </c>
      <c r="P149">
        <v>0.84</v>
      </c>
      <c r="Q149">
        <v>2200</v>
      </c>
    </row>
    <row r="150" spans="1:17">
      <c r="A150" t="s">
        <v>1</v>
      </c>
      <c r="B150" t="s">
        <v>97</v>
      </c>
      <c r="C150" t="s">
        <v>98</v>
      </c>
      <c r="D150" t="s">
        <v>2</v>
      </c>
      <c r="E150" t="s">
        <v>21</v>
      </c>
      <c r="F150" t="s">
        <v>39</v>
      </c>
      <c r="G150" t="s">
        <v>35</v>
      </c>
      <c r="H150">
        <v>3</v>
      </c>
      <c r="I150" s="5" t="s">
        <v>35</v>
      </c>
      <c r="J150" s="5" t="s">
        <v>118</v>
      </c>
      <c r="K150" t="s">
        <v>22</v>
      </c>
      <c r="L150">
        <v>100</v>
      </c>
      <c r="M150">
        <v>300</v>
      </c>
      <c r="N150">
        <v>230</v>
      </c>
      <c r="O150">
        <v>350</v>
      </c>
    </row>
    <row r="151" spans="1:17">
      <c r="A151" t="s">
        <v>96</v>
      </c>
      <c r="B151" t="s">
        <v>99</v>
      </c>
      <c r="C151" t="s">
        <v>98</v>
      </c>
      <c r="D151" t="s">
        <v>2</v>
      </c>
      <c r="E151" t="s">
        <v>21</v>
      </c>
      <c r="F151" t="s">
        <v>39</v>
      </c>
      <c r="G151" t="s">
        <v>35</v>
      </c>
      <c r="H151">
        <v>3</v>
      </c>
      <c r="I151" s="5" t="s">
        <v>35</v>
      </c>
      <c r="J151" s="5" t="s">
        <v>118</v>
      </c>
      <c r="K151" t="s">
        <v>22</v>
      </c>
      <c r="L151">
        <v>100</v>
      </c>
      <c r="M151">
        <v>300</v>
      </c>
      <c r="N151">
        <v>230</v>
      </c>
      <c r="O151">
        <v>350</v>
      </c>
    </row>
    <row r="152" spans="1:17">
      <c r="A152" t="s">
        <v>1</v>
      </c>
      <c r="B152" t="s">
        <v>97</v>
      </c>
      <c r="C152" t="s">
        <v>100</v>
      </c>
      <c r="D152" t="s">
        <v>2</v>
      </c>
      <c r="E152" t="s">
        <v>21</v>
      </c>
      <c r="F152" t="s">
        <v>39</v>
      </c>
      <c r="G152" t="s">
        <v>35</v>
      </c>
      <c r="H152">
        <v>3</v>
      </c>
      <c r="I152" s="5" t="s">
        <v>35</v>
      </c>
      <c r="J152" s="5" t="s">
        <v>118</v>
      </c>
      <c r="K152" t="s">
        <v>22</v>
      </c>
      <c r="L152">
        <v>100</v>
      </c>
      <c r="M152">
        <v>300</v>
      </c>
      <c r="N152">
        <v>230</v>
      </c>
      <c r="O152">
        <v>350</v>
      </c>
    </row>
    <row r="153" spans="1:17">
      <c r="A153" t="s">
        <v>81</v>
      </c>
      <c r="B153" t="s">
        <v>97</v>
      </c>
      <c r="C153" t="s">
        <v>104</v>
      </c>
      <c r="D153" t="s">
        <v>2</v>
      </c>
      <c r="E153" t="s">
        <v>21</v>
      </c>
      <c r="F153" t="s">
        <v>39</v>
      </c>
      <c r="G153" t="s">
        <v>35</v>
      </c>
      <c r="H153">
        <v>3</v>
      </c>
      <c r="I153" s="5" t="s">
        <v>35</v>
      </c>
      <c r="J153" s="5" t="s">
        <v>118</v>
      </c>
      <c r="K153" t="s">
        <v>22</v>
      </c>
      <c r="L153">
        <v>80</v>
      </c>
      <c r="M153">
        <v>350</v>
      </c>
      <c r="N153">
        <v>265</v>
      </c>
      <c r="O153">
        <v>325</v>
      </c>
    </row>
    <row r="154" spans="1:17">
      <c r="A154" t="s">
        <v>1</v>
      </c>
      <c r="B154" t="s">
        <v>101</v>
      </c>
      <c r="C154" t="s">
        <v>39</v>
      </c>
      <c r="D154" t="s">
        <v>2</v>
      </c>
      <c r="E154" t="s">
        <v>21</v>
      </c>
      <c r="F154" t="s">
        <v>39</v>
      </c>
      <c r="G154" t="s">
        <v>35</v>
      </c>
      <c r="H154">
        <v>2</v>
      </c>
      <c r="I154" s="5" t="s">
        <v>35</v>
      </c>
      <c r="J154" s="5" t="s">
        <v>118</v>
      </c>
      <c r="K154" t="s">
        <v>22</v>
      </c>
      <c r="L154">
        <v>100</v>
      </c>
      <c r="M154">
        <v>350</v>
      </c>
      <c r="N154">
        <v>265</v>
      </c>
      <c r="O154">
        <v>325</v>
      </c>
    </row>
    <row r="155" spans="1:17">
      <c r="A155" t="s">
        <v>37</v>
      </c>
      <c r="B155" t="s">
        <v>101</v>
      </c>
      <c r="C155" t="s">
        <v>39</v>
      </c>
      <c r="D155" t="s">
        <v>2</v>
      </c>
      <c r="E155" t="s">
        <v>21</v>
      </c>
      <c r="F155" t="s">
        <v>39</v>
      </c>
      <c r="G155" t="s">
        <v>35</v>
      </c>
      <c r="H155">
        <v>2</v>
      </c>
      <c r="I155" s="5" t="s">
        <v>35</v>
      </c>
      <c r="J155" s="5" t="s">
        <v>118</v>
      </c>
      <c r="K155" t="s">
        <v>22</v>
      </c>
      <c r="L155">
        <v>100</v>
      </c>
      <c r="M155">
        <v>350</v>
      </c>
      <c r="N155">
        <v>265</v>
      </c>
      <c r="O155">
        <v>325</v>
      </c>
    </row>
    <row r="156" spans="1:17">
      <c r="A156" t="s">
        <v>106</v>
      </c>
      <c r="B156" t="s">
        <v>111</v>
      </c>
      <c r="C156" t="s">
        <v>39</v>
      </c>
      <c r="D156" t="s">
        <v>2</v>
      </c>
      <c r="E156" t="s">
        <v>21</v>
      </c>
      <c r="F156" t="s">
        <v>39</v>
      </c>
      <c r="G156" t="s">
        <v>35</v>
      </c>
      <c r="H156">
        <v>3</v>
      </c>
      <c r="I156" s="5" t="s">
        <v>35</v>
      </c>
      <c r="J156" s="5" t="s">
        <v>118</v>
      </c>
      <c r="K156" t="s">
        <v>22</v>
      </c>
      <c r="L156">
        <v>100</v>
      </c>
      <c r="M156">
        <v>300</v>
      </c>
      <c r="N156">
        <v>265</v>
      </c>
      <c r="O156">
        <v>325</v>
      </c>
    </row>
    <row r="157" spans="1:17">
      <c r="A157" t="s">
        <v>37</v>
      </c>
      <c r="B157" t="s">
        <v>111</v>
      </c>
      <c r="C157" t="s">
        <v>42</v>
      </c>
      <c r="D157" t="s">
        <v>2</v>
      </c>
      <c r="E157" t="s">
        <v>21</v>
      </c>
      <c r="F157" t="s">
        <v>39</v>
      </c>
      <c r="G157" t="s">
        <v>35</v>
      </c>
      <c r="H157">
        <v>3</v>
      </c>
      <c r="I157" s="5" t="s">
        <v>35</v>
      </c>
      <c r="J157" s="5" t="s">
        <v>118</v>
      </c>
      <c r="K157" t="s">
        <v>22</v>
      </c>
      <c r="L157">
        <v>100</v>
      </c>
      <c r="M157">
        <v>300</v>
      </c>
      <c r="N157">
        <v>265</v>
      </c>
      <c r="O157">
        <v>325</v>
      </c>
    </row>
    <row r="158" spans="1:17">
      <c r="A158" t="s">
        <v>54</v>
      </c>
      <c r="B158" t="s">
        <v>10</v>
      </c>
      <c r="C158" t="s">
        <v>10</v>
      </c>
      <c r="D158" t="s">
        <v>2</v>
      </c>
      <c r="E158" t="s">
        <v>10</v>
      </c>
      <c r="F158" t="s">
        <v>11</v>
      </c>
      <c r="G158" t="s">
        <v>35</v>
      </c>
      <c r="H158">
        <v>3</v>
      </c>
      <c r="I158" s="5" t="s">
        <v>35</v>
      </c>
      <c r="J158" s="5" t="s">
        <v>118</v>
      </c>
      <c r="K158" t="s">
        <v>22</v>
      </c>
      <c r="L158">
        <v>150</v>
      </c>
      <c r="M158">
        <v>300</v>
      </c>
      <c r="N158">
        <v>250</v>
      </c>
      <c r="O158">
        <v>290</v>
      </c>
      <c r="P158">
        <v>0.8</v>
      </c>
      <c r="Q158">
        <f>3600*2.20462</f>
        <v>7936.6319999999996</v>
      </c>
    </row>
    <row r="159" spans="1:17">
      <c r="A159" t="s">
        <v>81</v>
      </c>
      <c r="B159" t="s">
        <v>10</v>
      </c>
      <c r="C159" t="s">
        <v>93</v>
      </c>
      <c r="D159" t="s">
        <v>2</v>
      </c>
      <c r="E159" t="s">
        <v>10</v>
      </c>
      <c r="F159" t="s">
        <v>11</v>
      </c>
      <c r="G159" t="s">
        <v>35</v>
      </c>
      <c r="H159">
        <v>3</v>
      </c>
      <c r="I159" s="5" t="s">
        <v>35</v>
      </c>
      <c r="J159" s="5" t="s">
        <v>118</v>
      </c>
      <c r="K159" t="s">
        <v>22</v>
      </c>
      <c r="L159">
        <v>150</v>
      </c>
      <c r="M159">
        <v>300</v>
      </c>
      <c r="N159">
        <v>250</v>
      </c>
      <c r="O159">
        <v>290</v>
      </c>
      <c r="P159">
        <v>0.8</v>
      </c>
      <c r="Q159">
        <f>3600*2.20462</f>
        <v>7936.6319999999996</v>
      </c>
    </row>
    <row r="160" spans="1:17">
      <c r="A160" t="s">
        <v>52</v>
      </c>
      <c r="B160" t="s">
        <v>10</v>
      </c>
      <c r="C160" t="s">
        <v>94</v>
      </c>
      <c r="D160" t="s">
        <v>2</v>
      </c>
      <c r="E160" t="s">
        <v>10</v>
      </c>
      <c r="F160" t="s">
        <v>11</v>
      </c>
      <c r="G160" t="s">
        <v>35</v>
      </c>
      <c r="H160">
        <v>3</v>
      </c>
      <c r="I160" s="5" t="s">
        <v>35</v>
      </c>
      <c r="J160" s="5" t="s">
        <v>118</v>
      </c>
      <c r="K160" t="s">
        <v>22</v>
      </c>
      <c r="L160">
        <v>150</v>
      </c>
      <c r="M160">
        <v>300</v>
      </c>
      <c r="N160">
        <v>250</v>
      </c>
      <c r="O160">
        <v>290</v>
      </c>
      <c r="P160">
        <v>0.8</v>
      </c>
      <c r="Q160">
        <f>3600*2.20462</f>
        <v>7936.6319999999996</v>
      </c>
    </row>
    <row r="161" spans="1:18">
      <c r="A161" t="s">
        <v>92</v>
      </c>
      <c r="B161" t="s">
        <v>10</v>
      </c>
      <c r="C161" t="s">
        <v>95</v>
      </c>
      <c r="D161" t="s">
        <v>2</v>
      </c>
      <c r="E161" t="s">
        <v>10</v>
      </c>
      <c r="F161" t="s">
        <v>11</v>
      </c>
      <c r="G161" t="s">
        <v>123</v>
      </c>
      <c r="H161">
        <v>3</v>
      </c>
      <c r="I161" s="5" t="s">
        <v>122</v>
      </c>
      <c r="J161" s="5" t="s">
        <v>118</v>
      </c>
      <c r="K161" t="s">
        <v>22</v>
      </c>
      <c r="L161">
        <v>150</v>
      </c>
      <c r="M161">
        <v>300</v>
      </c>
      <c r="N161">
        <v>250</v>
      </c>
      <c r="O161">
        <v>290</v>
      </c>
      <c r="P161">
        <v>0.8</v>
      </c>
      <c r="Q161">
        <f>3600*2.20462</f>
        <v>7936.6319999999996</v>
      </c>
    </row>
    <row r="162" spans="1:18">
      <c r="A162" t="s">
        <v>54</v>
      </c>
      <c r="B162" t="s">
        <v>10</v>
      </c>
      <c r="C162" t="s">
        <v>10</v>
      </c>
      <c r="D162" t="s">
        <v>2</v>
      </c>
      <c r="E162" t="s">
        <v>33</v>
      </c>
      <c r="F162" t="s">
        <v>39</v>
      </c>
      <c r="G162" t="s">
        <v>35</v>
      </c>
      <c r="H162">
        <v>3</v>
      </c>
      <c r="I162" s="5" t="s">
        <v>35</v>
      </c>
      <c r="J162" s="5" t="s">
        <v>118</v>
      </c>
      <c r="K162" t="s">
        <v>22</v>
      </c>
      <c r="L162">
        <v>80</v>
      </c>
      <c r="M162">
        <v>280</v>
      </c>
      <c r="N162">
        <v>250</v>
      </c>
      <c r="O162">
        <v>300</v>
      </c>
      <c r="P162">
        <v>0.76</v>
      </c>
    </row>
    <row r="163" spans="1:18">
      <c r="A163" t="s">
        <v>81</v>
      </c>
      <c r="B163" t="s">
        <v>10</v>
      </c>
      <c r="C163" t="s">
        <v>93</v>
      </c>
      <c r="D163" t="s">
        <v>2</v>
      </c>
      <c r="E163" t="s">
        <v>33</v>
      </c>
      <c r="F163" t="s">
        <v>39</v>
      </c>
      <c r="G163" t="s">
        <v>35</v>
      </c>
      <c r="H163">
        <v>3</v>
      </c>
      <c r="I163" s="5" t="s">
        <v>35</v>
      </c>
      <c r="J163" s="5" t="s">
        <v>118</v>
      </c>
      <c r="K163" t="s">
        <v>22</v>
      </c>
      <c r="L163">
        <v>80</v>
      </c>
      <c r="M163">
        <v>280</v>
      </c>
      <c r="N163">
        <v>250</v>
      </c>
      <c r="O163">
        <v>300</v>
      </c>
      <c r="P163">
        <v>0.76</v>
      </c>
    </row>
    <row r="164" spans="1:18">
      <c r="A164" t="s">
        <v>52</v>
      </c>
      <c r="B164" t="s">
        <v>10</v>
      </c>
      <c r="C164" t="s">
        <v>94</v>
      </c>
      <c r="D164" t="s">
        <v>2</v>
      </c>
      <c r="E164" t="s">
        <v>33</v>
      </c>
      <c r="F164" t="s">
        <v>39</v>
      </c>
      <c r="G164" t="s">
        <v>35</v>
      </c>
      <c r="H164">
        <v>3</v>
      </c>
      <c r="I164" s="5" t="s">
        <v>35</v>
      </c>
      <c r="J164" s="5" t="s">
        <v>118</v>
      </c>
      <c r="K164" t="s">
        <v>22</v>
      </c>
      <c r="L164">
        <v>80</v>
      </c>
      <c r="M164">
        <v>280</v>
      </c>
      <c r="N164">
        <v>250</v>
      </c>
      <c r="O164">
        <v>300</v>
      </c>
      <c r="P164">
        <v>0.76</v>
      </c>
    </row>
    <row r="165" spans="1:18">
      <c r="A165" t="s">
        <v>92</v>
      </c>
      <c r="B165" t="s">
        <v>10</v>
      </c>
      <c r="C165" t="s">
        <v>95</v>
      </c>
      <c r="D165" t="s">
        <v>2</v>
      </c>
      <c r="E165" t="s">
        <v>33</v>
      </c>
      <c r="F165" t="s">
        <v>39</v>
      </c>
      <c r="G165">
        <v>3</v>
      </c>
      <c r="H165">
        <v>3</v>
      </c>
      <c r="I165" s="5" t="s">
        <v>122</v>
      </c>
      <c r="J165" s="5" t="s">
        <v>118</v>
      </c>
      <c r="K165" t="s">
        <v>22</v>
      </c>
      <c r="L165">
        <v>80</v>
      </c>
      <c r="M165">
        <v>280</v>
      </c>
      <c r="N165">
        <v>250</v>
      </c>
      <c r="O165">
        <v>300</v>
      </c>
      <c r="P165">
        <v>0.76</v>
      </c>
      <c r="Q165">
        <v>4200</v>
      </c>
    </row>
    <row r="166" spans="1:18">
      <c r="A166" t="s">
        <v>1</v>
      </c>
      <c r="B166" t="s">
        <v>97</v>
      </c>
      <c r="C166" t="s">
        <v>98</v>
      </c>
      <c r="D166" t="s">
        <v>2</v>
      </c>
      <c r="E166" t="s">
        <v>33</v>
      </c>
      <c r="F166" t="s">
        <v>39</v>
      </c>
      <c r="G166" t="s">
        <v>35</v>
      </c>
      <c r="H166">
        <v>3</v>
      </c>
      <c r="I166" s="5" t="s">
        <v>35</v>
      </c>
      <c r="J166" s="5" t="s">
        <v>118</v>
      </c>
      <c r="K166" t="s">
        <v>22</v>
      </c>
      <c r="L166">
        <v>80</v>
      </c>
      <c r="M166">
        <v>280</v>
      </c>
      <c r="N166">
        <v>250</v>
      </c>
      <c r="O166">
        <v>300</v>
      </c>
    </row>
    <row r="167" spans="1:18">
      <c r="A167" t="s">
        <v>96</v>
      </c>
      <c r="B167" t="s">
        <v>99</v>
      </c>
      <c r="C167" t="s">
        <v>98</v>
      </c>
      <c r="D167" t="s">
        <v>2</v>
      </c>
      <c r="E167" t="s">
        <v>33</v>
      </c>
      <c r="F167" t="s">
        <v>39</v>
      </c>
      <c r="G167" t="s">
        <v>35</v>
      </c>
      <c r="H167">
        <v>3</v>
      </c>
      <c r="I167" s="5" t="s">
        <v>35</v>
      </c>
      <c r="J167" s="5" t="s">
        <v>118</v>
      </c>
      <c r="K167" t="s">
        <v>22</v>
      </c>
      <c r="L167">
        <v>80</v>
      </c>
      <c r="M167">
        <v>280</v>
      </c>
      <c r="N167">
        <v>250</v>
      </c>
      <c r="O167">
        <v>300</v>
      </c>
    </row>
    <row r="168" spans="1:18">
      <c r="A168" t="s">
        <v>1</v>
      </c>
      <c r="B168" t="s">
        <v>97</v>
      </c>
      <c r="C168" t="s">
        <v>100</v>
      </c>
      <c r="D168" t="s">
        <v>2</v>
      </c>
      <c r="E168" t="s">
        <v>33</v>
      </c>
      <c r="F168" t="s">
        <v>39</v>
      </c>
      <c r="G168" t="s">
        <v>35</v>
      </c>
      <c r="H168">
        <v>3</v>
      </c>
      <c r="I168" s="5" t="s">
        <v>35</v>
      </c>
      <c r="J168" s="5" t="s">
        <v>118</v>
      </c>
      <c r="K168" t="s">
        <v>22</v>
      </c>
      <c r="L168">
        <v>80</v>
      </c>
      <c r="M168">
        <v>280</v>
      </c>
      <c r="N168">
        <v>250</v>
      </c>
      <c r="O168">
        <v>300</v>
      </c>
    </row>
    <row r="169" spans="1:18">
      <c r="A169" t="s">
        <v>81</v>
      </c>
      <c r="B169" t="s">
        <v>102</v>
      </c>
      <c r="C169" t="s">
        <v>103</v>
      </c>
      <c r="D169" t="s">
        <v>2</v>
      </c>
      <c r="E169" t="s">
        <v>33</v>
      </c>
      <c r="F169" t="s">
        <v>39</v>
      </c>
      <c r="G169" t="s">
        <v>35</v>
      </c>
      <c r="H169">
        <v>3</v>
      </c>
      <c r="I169" s="5" t="s">
        <v>35</v>
      </c>
      <c r="J169" s="5" t="s">
        <v>118</v>
      </c>
      <c r="K169" t="s">
        <v>22</v>
      </c>
      <c r="L169">
        <v>80</v>
      </c>
      <c r="M169">
        <v>280</v>
      </c>
      <c r="N169">
        <v>250</v>
      </c>
      <c r="O169">
        <v>300</v>
      </c>
    </row>
    <row r="170" spans="1:18">
      <c r="A170" t="s">
        <v>81</v>
      </c>
      <c r="B170" t="s">
        <v>97</v>
      </c>
      <c r="C170" t="s">
        <v>104</v>
      </c>
      <c r="D170" t="s">
        <v>2</v>
      </c>
      <c r="E170" t="s">
        <v>33</v>
      </c>
      <c r="F170" t="s">
        <v>39</v>
      </c>
      <c r="G170" t="s">
        <v>35</v>
      </c>
      <c r="H170">
        <v>3</v>
      </c>
      <c r="I170" s="5" t="s">
        <v>35</v>
      </c>
      <c r="J170" s="5" t="s">
        <v>118</v>
      </c>
      <c r="K170" t="s">
        <v>22</v>
      </c>
      <c r="L170">
        <v>80</v>
      </c>
      <c r="M170">
        <v>280</v>
      </c>
      <c r="N170">
        <v>250</v>
      </c>
      <c r="O170">
        <v>300</v>
      </c>
    </row>
    <row r="171" spans="1:18">
      <c r="A171" t="s">
        <v>92</v>
      </c>
      <c r="B171" t="s">
        <v>10</v>
      </c>
      <c r="C171" t="s">
        <v>95</v>
      </c>
      <c r="D171" t="s">
        <v>1</v>
      </c>
      <c r="E171" t="s">
        <v>27</v>
      </c>
      <c r="F171" t="s">
        <v>22</v>
      </c>
      <c r="G171">
        <v>3</v>
      </c>
      <c r="H171" t="s">
        <v>35</v>
      </c>
      <c r="I171" s="5" t="s">
        <v>122</v>
      </c>
      <c r="J171" s="5" t="s">
        <v>35</v>
      </c>
      <c r="K171" s="4" t="s">
        <v>22</v>
      </c>
      <c r="L171">
        <v>100</v>
      </c>
      <c r="M171">
        <v>270</v>
      </c>
      <c r="N171">
        <v>290</v>
      </c>
      <c r="O171">
        <v>310</v>
      </c>
      <c r="P171">
        <v>0.8</v>
      </c>
      <c r="Q171">
        <v>8000</v>
      </c>
    </row>
    <row r="172" spans="1:18">
      <c r="A172" t="s">
        <v>92</v>
      </c>
      <c r="B172" t="s">
        <v>10</v>
      </c>
      <c r="C172" t="s">
        <v>95</v>
      </c>
      <c r="D172" t="s">
        <v>1</v>
      </c>
      <c r="E172" t="s">
        <v>28</v>
      </c>
      <c r="F172" t="s">
        <v>39</v>
      </c>
      <c r="G172">
        <v>2</v>
      </c>
      <c r="H172" t="s">
        <v>35</v>
      </c>
      <c r="I172" s="5" t="s">
        <v>122</v>
      </c>
      <c r="J172" s="5" t="s">
        <v>35</v>
      </c>
      <c r="K172" s="4" t="s">
        <v>22</v>
      </c>
      <c r="L172">
        <v>100</v>
      </c>
      <c r="M172">
        <v>270</v>
      </c>
      <c r="N172">
        <v>250</v>
      </c>
      <c r="O172">
        <v>270</v>
      </c>
      <c r="P172">
        <v>0.76</v>
      </c>
      <c r="Q172">
        <v>4400</v>
      </c>
    </row>
    <row r="173" spans="1:18">
      <c r="A173" t="s">
        <v>92</v>
      </c>
      <c r="B173" t="s">
        <v>10</v>
      </c>
      <c r="C173" t="s">
        <v>95</v>
      </c>
      <c r="D173" t="s">
        <v>124</v>
      </c>
      <c r="E173" t="s">
        <v>30</v>
      </c>
      <c r="F173" t="s">
        <v>41</v>
      </c>
      <c r="G173">
        <v>3</v>
      </c>
      <c r="H173" t="s">
        <v>35</v>
      </c>
      <c r="I173" s="5" t="s">
        <v>122</v>
      </c>
      <c r="J173" s="5" t="s">
        <v>35</v>
      </c>
      <c r="K173" s="4" t="s">
        <v>22</v>
      </c>
      <c r="L173">
        <v>80</v>
      </c>
      <c r="M173">
        <v>350</v>
      </c>
      <c r="N173">
        <v>265</v>
      </c>
      <c r="O173">
        <v>315</v>
      </c>
      <c r="P173">
        <v>0.76</v>
      </c>
      <c r="Q173">
        <v>3000</v>
      </c>
      <c r="R173" t="s">
        <v>140</v>
      </c>
    </row>
    <row r="174" spans="1:18">
      <c r="A174" t="s">
        <v>92</v>
      </c>
      <c r="B174" t="s">
        <v>10</v>
      </c>
      <c r="C174" t="s">
        <v>95</v>
      </c>
      <c r="D174" t="s">
        <v>45</v>
      </c>
      <c r="E174" t="s">
        <v>30</v>
      </c>
      <c r="F174" t="s">
        <v>39</v>
      </c>
      <c r="G174">
        <v>3</v>
      </c>
      <c r="H174" t="s">
        <v>35</v>
      </c>
      <c r="I174" s="5" t="s">
        <v>122</v>
      </c>
      <c r="J174" s="5" t="s">
        <v>35</v>
      </c>
      <c r="K174" t="s">
        <v>22</v>
      </c>
      <c r="L174">
        <v>80</v>
      </c>
      <c r="M174">
        <v>350</v>
      </c>
      <c r="N174">
        <v>265</v>
      </c>
      <c r="O174">
        <v>315</v>
      </c>
      <c r="P174">
        <v>0.76</v>
      </c>
      <c r="Q174">
        <v>3000</v>
      </c>
      <c r="R174" t="s">
        <v>140</v>
      </c>
    </row>
    <row r="175" spans="1:18">
      <c r="A175" t="s">
        <v>92</v>
      </c>
      <c r="B175" t="s">
        <v>10</v>
      </c>
      <c r="C175" t="s">
        <v>95</v>
      </c>
      <c r="D175" t="s">
        <v>125</v>
      </c>
      <c r="E175" t="s">
        <v>30</v>
      </c>
      <c r="F175" t="s">
        <v>39</v>
      </c>
      <c r="G175">
        <v>3</v>
      </c>
      <c r="H175" t="s">
        <v>35</v>
      </c>
      <c r="I175" s="5" t="s">
        <v>122</v>
      </c>
      <c r="J175" s="5" t="s">
        <v>35</v>
      </c>
      <c r="K175" s="4" t="s">
        <v>22</v>
      </c>
      <c r="L175">
        <v>80</v>
      </c>
      <c r="M175">
        <v>350</v>
      </c>
      <c r="N175">
        <v>265</v>
      </c>
      <c r="O175">
        <v>315</v>
      </c>
      <c r="P175">
        <v>0.76</v>
      </c>
      <c r="Q175">
        <v>3000</v>
      </c>
      <c r="R175" t="s">
        <v>140</v>
      </c>
    </row>
    <row r="176" spans="1:18">
      <c r="A176" t="s">
        <v>92</v>
      </c>
      <c r="B176" t="s">
        <v>10</v>
      </c>
      <c r="C176" t="s">
        <v>95</v>
      </c>
      <c r="D176" t="s">
        <v>47</v>
      </c>
      <c r="E176" t="s">
        <v>30</v>
      </c>
      <c r="F176" t="s">
        <v>39</v>
      </c>
      <c r="G176">
        <v>3</v>
      </c>
      <c r="H176" t="s">
        <v>35</v>
      </c>
      <c r="I176" s="5" t="s">
        <v>122</v>
      </c>
      <c r="J176" s="5" t="s">
        <v>35</v>
      </c>
      <c r="K176" s="4" t="s">
        <v>22</v>
      </c>
      <c r="L176">
        <v>80</v>
      </c>
      <c r="M176">
        <v>350</v>
      </c>
      <c r="N176">
        <v>265</v>
      </c>
      <c r="O176">
        <v>315</v>
      </c>
      <c r="P176">
        <v>0.76</v>
      </c>
      <c r="Q176">
        <v>3000</v>
      </c>
      <c r="R176" t="s">
        <v>140</v>
      </c>
    </row>
    <row r="177" spans="1:18">
      <c r="A177" t="s">
        <v>92</v>
      </c>
      <c r="B177" t="s">
        <v>10</v>
      </c>
      <c r="C177" t="s">
        <v>95</v>
      </c>
      <c r="D177" t="s">
        <v>126</v>
      </c>
      <c r="E177" t="s">
        <v>30</v>
      </c>
      <c r="F177" t="s">
        <v>39</v>
      </c>
      <c r="G177">
        <v>3</v>
      </c>
      <c r="H177" t="s">
        <v>35</v>
      </c>
      <c r="I177" s="5" t="s">
        <v>122</v>
      </c>
      <c r="J177" s="5" t="s">
        <v>35</v>
      </c>
      <c r="K177" s="4" t="s">
        <v>22</v>
      </c>
      <c r="L177">
        <v>80</v>
      </c>
      <c r="M177">
        <v>350</v>
      </c>
      <c r="N177">
        <v>265</v>
      </c>
      <c r="O177">
        <v>315</v>
      </c>
      <c r="P177">
        <v>0.76</v>
      </c>
      <c r="Q177">
        <v>3000</v>
      </c>
      <c r="R177" t="s">
        <v>140</v>
      </c>
    </row>
    <row r="178" spans="1:18">
      <c r="A178" t="s">
        <v>92</v>
      </c>
      <c r="B178" t="s">
        <v>10</v>
      </c>
      <c r="C178" t="s">
        <v>95</v>
      </c>
      <c r="D178" t="s">
        <v>126</v>
      </c>
      <c r="E178" t="s">
        <v>30</v>
      </c>
      <c r="F178" t="s">
        <v>41</v>
      </c>
      <c r="G178">
        <v>3</v>
      </c>
      <c r="H178" t="s">
        <v>35</v>
      </c>
      <c r="I178" s="5" t="s">
        <v>122</v>
      </c>
      <c r="J178" s="5" t="s">
        <v>35</v>
      </c>
      <c r="K178" t="s">
        <v>22</v>
      </c>
      <c r="L178">
        <v>80</v>
      </c>
      <c r="M178">
        <v>350</v>
      </c>
      <c r="N178">
        <v>265</v>
      </c>
      <c r="O178">
        <v>315</v>
      </c>
      <c r="P178">
        <v>0.76</v>
      </c>
      <c r="Q178">
        <v>3000</v>
      </c>
      <c r="R178" t="s">
        <v>140</v>
      </c>
    </row>
    <row r="179" spans="1:18">
      <c r="A179" t="s">
        <v>92</v>
      </c>
      <c r="B179" t="s">
        <v>10</v>
      </c>
      <c r="C179" t="s">
        <v>95</v>
      </c>
      <c r="D179" t="s">
        <v>127</v>
      </c>
      <c r="E179" t="s">
        <v>30</v>
      </c>
      <c r="F179" t="s">
        <v>41</v>
      </c>
      <c r="G179">
        <v>3</v>
      </c>
      <c r="H179" t="s">
        <v>35</v>
      </c>
      <c r="I179" s="5" t="s">
        <v>122</v>
      </c>
      <c r="J179" s="5" t="s">
        <v>35</v>
      </c>
      <c r="K179" s="4" t="s">
        <v>22</v>
      </c>
      <c r="L179">
        <v>80</v>
      </c>
      <c r="M179">
        <v>350</v>
      </c>
      <c r="N179">
        <v>265</v>
      </c>
      <c r="O179">
        <v>315</v>
      </c>
      <c r="P179">
        <v>0.76</v>
      </c>
      <c r="Q179">
        <v>3000</v>
      </c>
      <c r="R179" t="s">
        <v>140</v>
      </c>
    </row>
    <row r="180" spans="1:18">
      <c r="A180" t="s">
        <v>92</v>
      </c>
      <c r="B180" t="s">
        <v>10</v>
      </c>
      <c r="C180" t="s">
        <v>95</v>
      </c>
      <c r="D180" t="s">
        <v>128</v>
      </c>
      <c r="E180" t="s">
        <v>30</v>
      </c>
      <c r="F180" t="s">
        <v>41</v>
      </c>
      <c r="G180">
        <v>3</v>
      </c>
      <c r="H180" t="s">
        <v>35</v>
      </c>
      <c r="I180" s="5" t="s">
        <v>122</v>
      </c>
      <c r="J180" s="5" t="s">
        <v>35</v>
      </c>
      <c r="K180" s="4" t="s">
        <v>22</v>
      </c>
      <c r="L180">
        <v>80</v>
      </c>
      <c r="M180">
        <v>350</v>
      </c>
      <c r="N180">
        <v>265</v>
      </c>
      <c r="O180">
        <v>315</v>
      </c>
      <c r="P180">
        <v>0.76</v>
      </c>
      <c r="Q180">
        <v>3000</v>
      </c>
      <c r="R180" t="s">
        <v>140</v>
      </c>
    </row>
    <row r="181" spans="1:18">
      <c r="A181" t="s">
        <v>92</v>
      </c>
      <c r="B181" t="s">
        <v>10</v>
      </c>
      <c r="C181" t="s">
        <v>95</v>
      </c>
      <c r="D181" t="s">
        <v>129</v>
      </c>
      <c r="E181" t="s">
        <v>30</v>
      </c>
      <c r="F181" t="s">
        <v>39</v>
      </c>
      <c r="G181">
        <v>3</v>
      </c>
      <c r="H181" t="s">
        <v>35</v>
      </c>
      <c r="I181" s="5" t="s">
        <v>122</v>
      </c>
      <c r="J181" s="5" t="s">
        <v>35</v>
      </c>
      <c r="K181" s="4" t="s">
        <v>22</v>
      </c>
      <c r="L181">
        <v>80</v>
      </c>
      <c r="M181">
        <v>350</v>
      </c>
      <c r="N181">
        <v>265</v>
      </c>
      <c r="O181">
        <v>315</v>
      </c>
      <c r="P181">
        <v>0.76</v>
      </c>
      <c r="Q181">
        <v>3000</v>
      </c>
      <c r="R181" t="s">
        <v>140</v>
      </c>
    </row>
    <row r="182" spans="1:18">
      <c r="A182" t="s">
        <v>92</v>
      </c>
      <c r="B182" t="s">
        <v>10</v>
      </c>
      <c r="C182" t="s">
        <v>95</v>
      </c>
      <c r="D182" t="s">
        <v>129</v>
      </c>
      <c r="E182" t="s">
        <v>30</v>
      </c>
      <c r="F182" t="s">
        <v>41</v>
      </c>
      <c r="G182">
        <v>3</v>
      </c>
      <c r="H182" t="s">
        <v>35</v>
      </c>
      <c r="I182" s="5" t="s">
        <v>122</v>
      </c>
      <c r="J182" s="5" t="s">
        <v>35</v>
      </c>
      <c r="K182" t="s">
        <v>22</v>
      </c>
      <c r="L182">
        <v>80</v>
      </c>
      <c r="M182">
        <v>350</v>
      </c>
      <c r="N182">
        <v>265</v>
      </c>
      <c r="O182">
        <v>315</v>
      </c>
      <c r="P182">
        <v>0.76</v>
      </c>
      <c r="Q182">
        <v>3000</v>
      </c>
      <c r="R182" t="s">
        <v>140</v>
      </c>
    </row>
    <row r="183" spans="1:18">
      <c r="A183" t="s">
        <v>92</v>
      </c>
      <c r="B183" t="s">
        <v>10</v>
      </c>
      <c r="C183" t="s">
        <v>95</v>
      </c>
      <c r="D183" t="s">
        <v>130</v>
      </c>
      <c r="E183" t="s">
        <v>30</v>
      </c>
      <c r="F183" t="s">
        <v>39</v>
      </c>
      <c r="G183">
        <v>3</v>
      </c>
      <c r="H183" t="s">
        <v>35</v>
      </c>
      <c r="I183" s="5" t="s">
        <v>122</v>
      </c>
      <c r="J183" s="5" t="s">
        <v>35</v>
      </c>
      <c r="K183" s="4" t="s">
        <v>22</v>
      </c>
      <c r="L183">
        <v>80</v>
      </c>
      <c r="M183">
        <v>350</v>
      </c>
      <c r="N183">
        <v>265</v>
      </c>
      <c r="O183">
        <v>315</v>
      </c>
      <c r="P183">
        <v>0.76</v>
      </c>
      <c r="Q183">
        <v>3000</v>
      </c>
      <c r="R183" t="s">
        <v>140</v>
      </c>
    </row>
    <row r="184" spans="1:18">
      <c r="A184" t="s">
        <v>92</v>
      </c>
      <c r="B184" t="s">
        <v>10</v>
      </c>
      <c r="C184" t="s">
        <v>95</v>
      </c>
      <c r="D184" t="s">
        <v>131</v>
      </c>
      <c r="E184" t="s">
        <v>30</v>
      </c>
      <c r="F184" t="s">
        <v>41</v>
      </c>
      <c r="G184">
        <v>3</v>
      </c>
      <c r="H184" t="s">
        <v>35</v>
      </c>
      <c r="I184" s="5" t="s">
        <v>122</v>
      </c>
      <c r="J184" s="5" t="s">
        <v>35</v>
      </c>
      <c r="K184" s="4" t="s">
        <v>22</v>
      </c>
      <c r="L184">
        <v>80</v>
      </c>
      <c r="M184">
        <v>350</v>
      </c>
      <c r="N184">
        <v>265</v>
      </c>
      <c r="O184">
        <v>315</v>
      </c>
      <c r="P184">
        <v>0.76</v>
      </c>
      <c r="Q184">
        <v>3000</v>
      </c>
      <c r="R184" t="s">
        <v>140</v>
      </c>
    </row>
    <row r="185" spans="1:18">
      <c r="A185" t="s">
        <v>92</v>
      </c>
      <c r="B185" t="s">
        <v>10</v>
      </c>
      <c r="C185" t="s">
        <v>95</v>
      </c>
      <c r="D185" t="s">
        <v>132</v>
      </c>
      <c r="E185" t="s">
        <v>30</v>
      </c>
      <c r="F185" t="s">
        <v>41</v>
      </c>
      <c r="G185">
        <v>3</v>
      </c>
      <c r="H185" t="s">
        <v>35</v>
      </c>
      <c r="I185" s="5" t="s">
        <v>122</v>
      </c>
      <c r="J185" s="5" t="s">
        <v>35</v>
      </c>
      <c r="K185" s="4" t="s">
        <v>22</v>
      </c>
      <c r="L185">
        <v>80</v>
      </c>
      <c r="M185">
        <v>350</v>
      </c>
      <c r="N185">
        <v>265</v>
      </c>
      <c r="O185">
        <v>315</v>
      </c>
      <c r="P185">
        <v>0.76</v>
      </c>
      <c r="Q185">
        <v>3000</v>
      </c>
      <c r="R185" t="s">
        <v>140</v>
      </c>
    </row>
    <row r="186" spans="1:18">
      <c r="A186" t="s">
        <v>92</v>
      </c>
      <c r="B186" t="s">
        <v>10</v>
      </c>
      <c r="C186" t="s">
        <v>95</v>
      </c>
      <c r="D186" t="s">
        <v>133</v>
      </c>
      <c r="E186" t="s">
        <v>30</v>
      </c>
      <c r="F186" t="s">
        <v>41</v>
      </c>
      <c r="G186">
        <v>3</v>
      </c>
      <c r="H186" t="s">
        <v>35</v>
      </c>
      <c r="I186" s="5" t="s">
        <v>122</v>
      </c>
      <c r="J186" s="5" t="s">
        <v>35</v>
      </c>
      <c r="K186" t="s">
        <v>22</v>
      </c>
      <c r="L186">
        <v>80</v>
      </c>
      <c r="M186">
        <v>350</v>
      </c>
      <c r="N186">
        <v>265</v>
      </c>
      <c r="O186">
        <v>315</v>
      </c>
      <c r="P186">
        <v>0.76</v>
      </c>
      <c r="Q186">
        <v>3000</v>
      </c>
      <c r="R186" t="s">
        <v>140</v>
      </c>
    </row>
    <row r="187" spans="1:18">
      <c r="A187" t="s">
        <v>92</v>
      </c>
      <c r="B187" t="s">
        <v>10</v>
      </c>
      <c r="C187" t="s">
        <v>95</v>
      </c>
      <c r="D187" t="s">
        <v>139</v>
      </c>
      <c r="E187" t="s">
        <v>30</v>
      </c>
      <c r="F187" t="s">
        <v>39</v>
      </c>
      <c r="G187">
        <v>3</v>
      </c>
      <c r="H187" t="s">
        <v>35</v>
      </c>
      <c r="I187" s="5" t="s">
        <v>122</v>
      </c>
      <c r="J187" s="5" t="s">
        <v>35</v>
      </c>
      <c r="K187" s="4" t="s">
        <v>22</v>
      </c>
      <c r="L187">
        <v>80</v>
      </c>
      <c r="M187">
        <v>350</v>
      </c>
      <c r="N187">
        <v>265</v>
      </c>
      <c r="O187">
        <v>315</v>
      </c>
      <c r="P187">
        <v>0.76</v>
      </c>
      <c r="Q187">
        <v>3000</v>
      </c>
      <c r="R187" t="s">
        <v>140</v>
      </c>
    </row>
    <row r="188" spans="1:18">
      <c r="A188" t="s">
        <v>92</v>
      </c>
      <c r="B188" t="s">
        <v>10</v>
      </c>
      <c r="C188" t="s">
        <v>95</v>
      </c>
      <c r="D188" t="s">
        <v>139</v>
      </c>
      <c r="E188" t="s">
        <v>30</v>
      </c>
      <c r="F188" t="s">
        <v>41</v>
      </c>
      <c r="G188">
        <v>3</v>
      </c>
      <c r="H188" t="s">
        <v>35</v>
      </c>
      <c r="I188" s="5" t="s">
        <v>122</v>
      </c>
      <c r="J188" s="5" t="s">
        <v>35</v>
      </c>
      <c r="K188" s="4" t="s">
        <v>22</v>
      </c>
      <c r="L188">
        <v>80</v>
      </c>
      <c r="M188">
        <v>350</v>
      </c>
      <c r="N188">
        <v>265</v>
      </c>
      <c r="O188">
        <v>315</v>
      </c>
      <c r="P188">
        <v>0.76</v>
      </c>
      <c r="Q188">
        <v>3000</v>
      </c>
      <c r="R188" t="s">
        <v>140</v>
      </c>
    </row>
    <row r="189" spans="1:18">
      <c r="A189" t="s">
        <v>92</v>
      </c>
      <c r="B189" t="s">
        <v>10</v>
      </c>
      <c r="C189" t="s">
        <v>95</v>
      </c>
      <c r="D189" t="s">
        <v>134</v>
      </c>
      <c r="E189" t="s">
        <v>30</v>
      </c>
      <c r="F189" t="s">
        <v>41</v>
      </c>
      <c r="G189">
        <v>3</v>
      </c>
      <c r="H189" t="s">
        <v>35</v>
      </c>
      <c r="I189" s="5" t="s">
        <v>122</v>
      </c>
      <c r="J189" s="5" t="s">
        <v>35</v>
      </c>
      <c r="K189" s="4" t="s">
        <v>22</v>
      </c>
      <c r="L189">
        <v>80</v>
      </c>
      <c r="M189">
        <v>350</v>
      </c>
      <c r="N189">
        <v>265</v>
      </c>
      <c r="O189">
        <v>315</v>
      </c>
      <c r="P189">
        <v>0.76</v>
      </c>
      <c r="Q189">
        <v>3000</v>
      </c>
      <c r="R189" t="s">
        <v>140</v>
      </c>
    </row>
    <row r="190" spans="1:18">
      <c r="A190" t="s">
        <v>92</v>
      </c>
      <c r="B190" t="s">
        <v>10</v>
      </c>
      <c r="C190" t="s">
        <v>95</v>
      </c>
      <c r="D190" t="s">
        <v>51</v>
      </c>
      <c r="E190" t="s">
        <v>30</v>
      </c>
      <c r="F190" t="s">
        <v>39</v>
      </c>
      <c r="G190">
        <v>3</v>
      </c>
      <c r="H190" t="s">
        <v>35</v>
      </c>
      <c r="I190" s="5" t="s">
        <v>122</v>
      </c>
      <c r="J190" s="5" t="s">
        <v>35</v>
      </c>
      <c r="K190" t="s">
        <v>22</v>
      </c>
      <c r="L190">
        <v>80</v>
      </c>
      <c r="M190">
        <v>350</v>
      </c>
      <c r="N190">
        <v>265</v>
      </c>
      <c r="O190">
        <v>315</v>
      </c>
      <c r="P190">
        <v>0.76</v>
      </c>
      <c r="Q190">
        <v>3000</v>
      </c>
      <c r="R190" t="s">
        <v>140</v>
      </c>
    </row>
    <row r="191" spans="1:18">
      <c r="A191" t="s">
        <v>92</v>
      </c>
      <c r="B191" t="s">
        <v>10</v>
      </c>
      <c r="C191" t="s">
        <v>95</v>
      </c>
      <c r="D191" t="s">
        <v>135</v>
      </c>
      <c r="E191" t="s">
        <v>30</v>
      </c>
      <c r="F191" t="s">
        <v>39</v>
      </c>
      <c r="G191">
        <v>3</v>
      </c>
      <c r="H191" t="s">
        <v>35</v>
      </c>
      <c r="I191" s="5" t="s">
        <v>122</v>
      </c>
      <c r="J191" s="5" t="s">
        <v>35</v>
      </c>
      <c r="K191" s="4" t="s">
        <v>22</v>
      </c>
      <c r="L191">
        <v>80</v>
      </c>
      <c r="M191">
        <v>350</v>
      </c>
      <c r="N191">
        <v>265</v>
      </c>
      <c r="O191">
        <v>315</v>
      </c>
      <c r="P191">
        <v>0.76</v>
      </c>
      <c r="Q191">
        <v>3000</v>
      </c>
      <c r="R191" t="s">
        <v>140</v>
      </c>
    </row>
    <row r="192" spans="1:18">
      <c r="A192" t="s">
        <v>92</v>
      </c>
      <c r="B192" t="s">
        <v>10</v>
      </c>
      <c r="C192" t="s">
        <v>95</v>
      </c>
      <c r="D192" t="s">
        <v>54</v>
      </c>
      <c r="E192" t="s">
        <v>30</v>
      </c>
      <c r="F192" t="s">
        <v>41</v>
      </c>
      <c r="G192">
        <v>3</v>
      </c>
      <c r="H192" t="s">
        <v>35</v>
      </c>
      <c r="I192" s="5" t="s">
        <v>122</v>
      </c>
      <c r="J192" s="5" t="s">
        <v>35</v>
      </c>
      <c r="K192" s="4" t="s">
        <v>22</v>
      </c>
      <c r="L192">
        <v>80</v>
      </c>
      <c r="M192">
        <v>350</v>
      </c>
      <c r="N192">
        <v>265</v>
      </c>
      <c r="O192">
        <v>315</v>
      </c>
      <c r="P192">
        <v>0.76</v>
      </c>
      <c r="Q192">
        <v>3000</v>
      </c>
      <c r="R192" t="s">
        <v>140</v>
      </c>
    </row>
    <row r="193" spans="1:18">
      <c r="A193" t="s">
        <v>92</v>
      </c>
      <c r="B193" t="s">
        <v>10</v>
      </c>
      <c r="C193" t="s">
        <v>95</v>
      </c>
      <c r="D193" t="s">
        <v>136</v>
      </c>
      <c r="E193" t="s">
        <v>30</v>
      </c>
      <c r="F193" t="s">
        <v>39</v>
      </c>
      <c r="G193">
        <v>3</v>
      </c>
      <c r="H193" t="s">
        <v>35</v>
      </c>
      <c r="I193" s="5" t="s">
        <v>122</v>
      </c>
      <c r="J193" s="5" t="s">
        <v>35</v>
      </c>
      <c r="K193" s="4" t="s">
        <v>22</v>
      </c>
      <c r="L193">
        <v>80</v>
      </c>
      <c r="M193">
        <v>350</v>
      </c>
      <c r="N193">
        <v>265</v>
      </c>
      <c r="O193">
        <v>315</v>
      </c>
      <c r="P193">
        <v>0.76</v>
      </c>
      <c r="Q193">
        <v>3000</v>
      </c>
      <c r="R193" t="s">
        <v>140</v>
      </c>
    </row>
    <row r="194" spans="1:18">
      <c r="A194" t="s">
        <v>92</v>
      </c>
      <c r="B194" t="s">
        <v>10</v>
      </c>
      <c r="C194" t="s">
        <v>95</v>
      </c>
      <c r="D194" t="s">
        <v>55</v>
      </c>
      <c r="E194" t="s">
        <v>30</v>
      </c>
      <c r="F194" t="s">
        <v>39</v>
      </c>
      <c r="G194">
        <v>3</v>
      </c>
      <c r="H194" t="s">
        <v>35</v>
      </c>
      <c r="I194" s="5" t="s">
        <v>122</v>
      </c>
      <c r="J194" s="5" t="s">
        <v>35</v>
      </c>
      <c r="K194" t="s">
        <v>22</v>
      </c>
      <c r="L194">
        <v>80</v>
      </c>
      <c r="M194">
        <v>350</v>
      </c>
      <c r="N194">
        <v>265</v>
      </c>
      <c r="O194">
        <v>315</v>
      </c>
      <c r="P194">
        <v>0.76</v>
      </c>
      <c r="Q194">
        <v>3000</v>
      </c>
      <c r="R194" t="s">
        <v>140</v>
      </c>
    </row>
    <row r="195" spans="1:18">
      <c r="A195" t="s">
        <v>92</v>
      </c>
      <c r="B195" t="s">
        <v>10</v>
      </c>
      <c r="C195" t="s">
        <v>95</v>
      </c>
      <c r="D195" t="s">
        <v>137</v>
      </c>
      <c r="E195" t="s">
        <v>30</v>
      </c>
      <c r="F195" t="s">
        <v>41</v>
      </c>
      <c r="G195">
        <v>3</v>
      </c>
      <c r="H195" t="s">
        <v>35</v>
      </c>
      <c r="I195" s="5" t="s">
        <v>122</v>
      </c>
      <c r="J195" s="5" t="s">
        <v>35</v>
      </c>
      <c r="K195" s="4" t="s">
        <v>22</v>
      </c>
      <c r="L195">
        <v>80</v>
      </c>
      <c r="M195">
        <v>350</v>
      </c>
      <c r="N195">
        <v>265</v>
      </c>
      <c r="O195">
        <v>315</v>
      </c>
      <c r="P195">
        <v>0.76</v>
      </c>
      <c r="Q195">
        <v>3000</v>
      </c>
      <c r="R195" t="s">
        <v>140</v>
      </c>
    </row>
    <row r="196" spans="1:18">
      <c r="A196" t="s">
        <v>92</v>
      </c>
      <c r="B196" t="s">
        <v>10</v>
      </c>
      <c r="C196" t="s">
        <v>95</v>
      </c>
      <c r="D196" t="s">
        <v>138</v>
      </c>
      <c r="E196" t="s">
        <v>30</v>
      </c>
      <c r="F196" t="s">
        <v>70</v>
      </c>
      <c r="G196">
        <v>3</v>
      </c>
      <c r="H196" t="s">
        <v>35</v>
      </c>
      <c r="I196" s="5" t="s">
        <v>122</v>
      </c>
      <c r="J196" s="5" t="s">
        <v>35</v>
      </c>
      <c r="K196" s="4" t="s">
        <v>22</v>
      </c>
      <c r="L196">
        <v>80</v>
      </c>
      <c r="M196">
        <v>350</v>
      </c>
      <c r="N196">
        <v>265</v>
      </c>
      <c r="O196">
        <v>315</v>
      </c>
      <c r="P196">
        <v>0.76</v>
      </c>
      <c r="Q196">
        <v>3000</v>
      </c>
      <c r="R196" t="s">
        <v>140</v>
      </c>
    </row>
    <row r="197" spans="1:18">
      <c r="A197" t="s">
        <v>92</v>
      </c>
      <c r="B197" t="s">
        <v>10</v>
      </c>
      <c r="C197" t="s">
        <v>95</v>
      </c>
      <c r="D197" t="s">
        <v>1</v>
      </c>
      <c r="E197" t="s">
        <v>30</v>
      </c>
      <c r="F197" t="s">
        <v>41</v>
      </c>
      <c r="G197">
        <v>3</v>
      </c>
      <c r="H197" t="s">
        <v>35</v>
      </c>
      <c r="I197" s="5" t="s">
        <v>122</v>
      </c>
      <c r="J197" s="5" t="s">
        <v>35</v>
      </c>
      <c r="K197" s="4" t="s">
        <v>22</v>
      </c>
      <c r="L197">
        <v>80</v>
      </c>
      <c r="M197">
        <v>350</v>
      </c>
      <c r="N197">
        <v>265</v>
      </c>
      <c r="O197">
        <v>315</v>
      </c>
      <c r="P197">
        <v>0.76</v>
      </c>
      <c r="Q197">
        <v>3000</v>
      </c>
      <c r="R197" t="s">
        <v>140</v>
      </c>
    </row>
    <row r="198" spans="1:18">
      <c r="A198" t="s">
        <v>92</v>
      </c>
      <c r="B198" t="s">
        <v>10</v>
      </c>
      <c r="C198" t="s">
        <v>95</v>
      </c>
      <c r="D198" t="s">
        <v>45</v>
      </c>
      <c r="E198" t="s">
        <v>30</v>
      </c>
      <c r="F198" t="s">
        <v>22</v>
      </c>
      <c r="G198">
        <v>3</v>
      </c>
      <c r="H198" t="s">
        <v>35</v>
      </c>
      <c r="I198" s="5" t="s">
        <v>122</v>
      </c>
      <c r="J198" s="5" t="s">
        <v>35</v>
      </c>
      <c r="K198" t="s">
        <v>22</v>
      </c>
      <c r="L198">
        <v>200</v>
      </c>
      <c r="M198">
        <v>350</v>
      </c>
      <c r="N198">
        <v>265</v>
      </c>
      <c r="O198">
        <v>315</v>
      </c>
      <c r="P198">
        <v>0.76</v>
      </c>
      <c r="Q198">
        <v>3000</v>
      </c>
      <c r="R198" t="s">
        <v>140</v>
      </c>
    </row>
    <row r="199" spans="1:18">
      <c r="A199" t="s">
        <v>92</v>
      </c>
      <c r="B199" t="s">
        <v>10</v>
      </c>
      <c r="C199" t="s">
        <v>95</v>
      </c>
      <c r="D199" t="s">
        <v>47</v>
      </c>
      <c r="E199" t="s">
        <v>30</v>
      </c>
      <c r="F199" t="s">
        <v>22</v>
      </c>
      <c r="G199">
        <v>3</v>
      </c>
      <c r="H199" t="s">
        <v>35</v>
      </c>
      <c r="I199" s="5" t="s">
        <v>122</v>
      </c>
      <c r="J199" s="5" t="s">
        <v>35</v>
      </c>
      <c r="K199" s="4" t="s">
        <v>22</v>
      </c>
      <c r="L199">
        <v>200</v>
      </c>
      <c r="M199">
        <v>350</v>
      </c>
      <c r="N199">
        <v>265</v>
      </c>
      <c r="O199">
        <v>315</v>
      </c>
      <c r="P199">
        <v>0.76</v>
      </c>
      <c r="Q199">
        <v>3000</v>
      </c>
      <c r="R199" t="s">
        <v>140</v>
      </c>
    </row>
    <row r="200" spans="1:18">
      <c r="A200" t="s">
        <v>92</v>
      </c>
      <c r="B200" t="s">
        <v>10</v>
      </c>
      <c r="C200" t="s">
        <v>95</v>
      </c>
      <c r="D200" t="s">
        <v>127</v>
      </c>
      <c r="E200" t="s">
        <v>30</v>
      </c>
      <c r="F200" t="s">
        <v>23</v>
      </c>
      <c r="G200">
        <v>3</v>
      </c>
      <c r="H200" t="s">
        <v>35</v>
      </c>
      <c r="I200" s="5" t="s">
        <v>122</v>
      </c>
      <c r="J200" s="5" t="s">
        <v>35</v>
      </c>
      <c r="K200" s="4" t="s">
        <v>22</v>
      </c>
      <c r="L200">
        <v>200</v>
      </c>
      <c r="M200">
        <v>350</v>
      </c>
      <c r="N200">
        <v>265</v>
      </c>
      <c r="O200">
        <v>315</v>
      </c>
      <c r="P200">
        <v>0.76</v>
      </c>
      <c r="Q200">
        <v>3000</v>
      </c>
      <c r="R200" t="s">
        <v>140</v>
      </c>
    </row>
    <row r="201" spans="1:18">
      <c r="A201" t="s">
        <v>92</v>
      </c>
      <c r="B201" t="s">
        <v>10</v>
      </c>
      <c r="C201" t="s">
        <v>95</v>
      </c>
      <c r="D201" t="s">
        <v>130</v>
      </c>
      <c r="E201" t="s">
        <v>30</v>
      </c>
      <c r="F201" t="s">
        <v>22</v>
      </c>
      <c r="G201">
        <v>3</v>
      </c>
      <c r="H201" t="s">
        <v>35</v>
      </c>
      <c r="I201" s="5" t="s">
        <v>122</v>
      </c>
      <c r="J201" s="5" t="s">
        <v>35</v>
      </c>
      <c r="K201" s="4" t="s">
        <v>22</v>
      </c>
      <c r="L201">
        <v>200</v>
      </c>
      <c r="M201">
        <v>350</v>
      </c>
      <c r="N201">
        <v>265</v>
      </c>
      <c r="O201">
        <v>315</v>
      </c>
      <c r="P201">
        <v>0.76</v>
      </c>
      <c r="Q201">
        <v>3000</v>
      </c>
      <c r="R201" t="s">
        <v>140</v>
      </c>
    </row>
    <row r="202" spans="1:18">
      <c r="A202" t="s">
        <v>92</v>
      </c>
      <c r="B202" t="s">
        <v>10</v>
      </c>
      <c r="C202" t="s">
        <v>95</v>
      </c>
      <c r="D202" t="s">
        <v>131</v>
      </c>
      <c r="E202" t="s">
        <v>30</v>
      </c>
      <c r="F202" t="s">
        <v>23</v>
      </c>
      <c r="G202">
        <v>3</v>
      </c>
      <c r="H202" t="s">
        <v>35</v>
      </c>
      <c r="I202" s="5" t="s">
        <v>122</v>
      </c>
      <c r="J202" s="5" t="s">
        <v>35</v>
      </c>
      <c r="K202" t="s">
        <v>22</v>
      </c>
      <c r="L202">
        <v>200</v>
      </c>
      <c r="M202">
        <v>350</v>
      </c>
      <c r="N202">
        <v>265</v>
      </c>
      <c r="O202">
        <v>315</v>
      </c>
      <c r="P202">
        <v>0.76</v>
      </c>
      <c r="Q202">
        <v>3000</v>
      </c>
      <c r="R202" t="s">
        <v>140</v>
      </c>
    </row>
    <row r="203" spans="1:18">
      <c r="A203" t="s">
        <v>92</v>
      </c>
      <c r="B203" t="s">
        <v>10</v>
      </c>
      <c r="C203" t="s">
        <v>95</v>
      </c>
      <c r="D203" t="s">
        <v>51</v>
      </c>
      <c r="E203" t="s">
        <v>30</v>
      </c>
      <c r="F203" t="s">
        <v>22</v>
      </c>
      <c r="G203">
        <v>3</v>
      </c>
      <c r="H203" t="s">
        <v>35</v>
      </c>
      <c r="I203" s="5" t="s">
        <v>122</v>
      </c>
      <c r="J203" s="5" t="s">
        <v>35</v>
      </c>
      <c r="K203" s="4" t="s">
        <v>22</v>
      </c>
      <c r="L203">
        <v>200</v>
      </c>
      <c r="M203">
        <v>350</v>
      </c>
      <c r="N203">
        <v>265</v>
      </c>
      <c r="O203">
        <v>315</v>
      </c>
      <c r="P203">
        <v>0.76</v>
      </c>
      <c r="Q203">
        <v>3000</v>
      </c>
      <c r="R203" t="s">
        <v>140</v>
      </c>
    </row>
    <row r="204" spans="1:18">
      <c r="A204" t="s">
        <v>92</v>
      </c>
      <c r="B204" t="s">
        <v>10</v>
      </c>
      <c r="C204" t="s">
        <v>95</v>
      </c>
      <c r="D204" t="s">
        <v>135</v>
      </c>
      <c r="E204" t="s">
        <v>30</v>
      </c>
      <c r="F204" t="s">
        <v>22</v>
      </c>
      <c r="G204">
        <v>3</v>
      </c>
      <c r="H204" t="s">
        <v>35</v>
      </c>
      <c r="I204" s="5" t="s">
        <v>122</v>
      </c>
      <c r="J204" s="5" t="s">
        <v>35</v>
      </c>
      <c r="K204" s="4" t="s">
        <v>22</v>
      </c>
      <c r="L204">
        <v>200</v>
      </c>
      <c r="M204">
        <v>350</v>
      </c>
      <c r="N204">
        <v>265</v>
      </c>
      <c r="O204">
        <v>315</v>
      </c>
      <c r="P204">
        <v>0.76</v>
      </c>
      <c r="Q204">
        <v>3000</v>
      </c>
      <c r="R204" t="s">
        <v>140</v>
      </c>
    </row>
    <row r="205" spans="1:18">
      <c r="A205" t="s">
        <v>92</v>
      </c>
      <c r="B205" t="s">
        <v>10</v>
      </c>
      <c r="C205" t="s">
        <v>95</v>
      </c>
      <c r="D205" t="s">
        <v>54</v>
      </c>
      <c r="E205" t="s">
        <v>30</v>
      </c>
      <c r="F205" t="s">
        <v>23</v>
      </c>
      <c r="G205">
        <v>3</v>
      </c>
      <c r="H205" t="s">
        <v>35</v>
      </c>
      <c r="I205" s="5" t="s">
        <v>122</v>
      </c>
      <c r="J205" s="5" t="s">
        <v>35</v>
      </c>
      <c r="K205" s="4" t="s">
        <v>22</v>
      </c>
      <c r="L205">
        <v>200</v>
      </c>
      <c r="M205">
        <v>350</v>
      </c>
      <c r="N205">
        <v>265</v>
      </c>
      <c r="O205">
        <v>315</v>
      </c>
      <c r="P205">
        <v>0.76</v>
      </c>
      <c r="Q205">
        <v>3000</v>
      </c>
      <c r="R205" t="s">
        <v>140</v>
      </c>
    </row>
    <row r="206" spans="1:18">
      <c r="A206" t="s">
        <v>92</v>
      </c>
      <c r="B206" t="s">
        <v>10</v>
      </c>
      <c r="C206" t="s">
        <v>95</v>
      </c>
      <c r="D206" t="s">
        <v>137</v>
      </c>
      <c r="E206" t="s">
        <v>30</v>
      </c>
      <c r="F206" t="s">
        <v>23</v>
      </c>
      <c r="G206">
        <v>3</v>
      </c>
      <c r="H206" t="s">
        <v>35</v>
      </c>
      <c r="I206" s="5" t="s">
        <v>122</v>
      </c>
      <c r="J206" s="5" t="s">
        <v>35</v>
      </c>
      <c r="K206" s="4" t="s">
        <v>22</v>
      </c>
      <c r="L206">
        <v>200</v>
      </c>
      <c r="M206">
        <v>350</v>
      </c>
      <c r="N206">
        <v>265</v>
      </c>
      <c r="O206">
        <v>315</v>
      </c>
      <c r="P206">
        <v>0.76</v>
      </c>
      <c r="Q206">
        <v>3000</v>
      </c>
      <c r="R206" t="s">
        <v>140</v>
      </c>
    </row>
    <row r="207" spans="1:18">
      <c r="A207" t="s">
        <v>92</v>
      </c>
      <c r="B207" t="s">
        <v>10</v>
      </c>
      <c r="C207" t="s">
        <v>95</v>
      </c>
      <c r="D207" t="s">
        <v>1</v>
      </c>
      <c r="E207" t="s">
        <v>30</v>
      </c>
      <c r="F207" t="s">
        <v>23</v>
      </c>
      <c r="G207">
        <v>3</v>
      </c>
      <c r="H207" t="s">
        <v>35</v>
      </c>
      <c r="I207" s="5" t="s">
        <v>122</v>
      </c>
      <c r="J207" s="5" t="s">
        <v>35</v>
      </c>
      <c r="K207" t="s">
        <v>22</v>
      </c>
      <c r="L207">
        <v>200</v>
      </c>
      <c r="M207">
        <v>350</v>
      </c>
      <c r="N207">
        <v>265</v>
      </c>
      <c r="O207">
        <v>315</v>
      </c>
      <c r="P207">
        <v>0.76</v>
      </c>
      <c r="Q207">
        <v>3000</v>
      </c>
      <c r="R207" t="s">
        <v>140</v>
      </c>
    </row>
    <row r="208" spans="1:18">
      <c r="A208" t="s">
        <v>92</v>
      </c>
      <c r="B208" t="s">
        <v>10</v>
      </c>
      <c r="C208" t="s">
        <v>95</v>
      </c>
      <c r="D208" t="s">
        <v>45</v>
      </c>
      <c r="E208" t="s">
        <v>21</v>
      </c>
      <c r="F208" t="s">
        <v>39</v>
      </c>
      <c r="G208">
        <v>3</v>
      </c>
      <c r="H208" t="s">
        <v>35</v>
      </c>
      <c r="I208" s="5" t="s">
        <v>122</v>
      </c>
      <c r="J208" s="5" t="s">
        <v>35</v>
      </c>
      <c r="K208" s="4" t="s">
        <v>22</v>
      </c>
      <c r="L208">
        <v>80</v>
      </c>
      <c r="M208">
        <v>350</v>
      </c>
      <c r="N208">
        <v>265</v>
      </c>
      <c r="O208">
        <v>325</v>
      </c>
      <c r="P208">
        <v>0.84</v>
      </c>
      <c r="Q208">
        <v>2200</v>
      </c>
    </row>
    <row r="209" spans="1:17">
      <c r="A209" t="s">
        <v>92</v>
      </c>
      <c r="B209" t="s">
        <v>10</v>
      </c>
      <c r="C209" t="s">
        <v>95</v>
      </c>
      <c r="D209" t="s">
        <v>47</v>
      </c>
      <c r="E209" t="s">
        <v>21</v>
      </c>
      <c r="F209" t="s">
        <v>39</v>
      </c>
      <c r="G209">
        <v>3</v>
      </c>
      <c r="H209" t="s">
        <v>35</v>
      </c>
      <c r="I209" s="5" t="s">
        <v>122</v>
      </c>
      <c r="J209" s="5" t="s">
        <v>35</v>
      </c>
      <c r="K209" s="4" t="s">
        <v>22</v>
      </c>
      <c r="L209">
        <v>80</v>
      </c>
      <c r="M209">
        <v>350</v>
      </c>
      <c r="N209">
        <v>265</v>
      </c>
      <c r="O209">
        <v>325</v>
      </c>
      <c r="P209">
        <v>0.84</v>
      </c>
      <c r="Q209">
        <v>2200</v>
      </c>
    </row>
    <row r="210" spans="1:17">
      <c r="A210" t="s">
        <v>92</v>
      </c>
      <c r="B210" t="s">
        <v>10</v>
      </c>
      <c r="C210" t="s">
        <v>95</v>
      </c>
      <c r="D210" t="s">
        <v>106</v>
      </c>
      <c r="E210" t="s">
        <v>21</v>
      </c>
      <c r="F210" t="s">
        <v>39</v>
      </c>
      <c r="G210">
        <v>3</v>
      </c>
      <c r="H210" t="s">
        <v>35</v>
      </c>
      <c r="I210" s="5" t="s">
        <v>122</v>
      </c>
      <c r="J210" s="5" t="s">
        <v>35</v>
      </c>
      <c r="K210" s="4" t="s">
        <v>22</v>
      </c>
      <c r="L210">
        <v>80</v>
      </c>
      <c r="M210">
        <v>350</v>
      </c>
      <c r="N210">
        <v>265</v>
      </c>
      <c r="O210">
        <v>325</v>
      </c>
      <c r="P210">
        <v>0.84</v>
      </c>
      <c r="Q210">
        <v>2200</v>
      </c>
    </row>
    <row r="211" spans="1:17">
      <c r="A211" t="s">
        <v>92</v>
      </c>
      <c r="B211" t="s">
        <v>10</v>
      </c>
      <c r="C211" t="s">
        <v>95</v>
      </c>
      <c r="D211" t="s">
        <v>57</v>
      </c>
      <c r="E211" t="s">
        <v>21</v>
      </c>
      <c r="F211" t="s">
        <v>39</v>
      </c>
      <c r="G211">
        <v>3</v>
      </c>
      <c r="H211" t="s">
        <v>35</v>
      </c>
      <c r="I211" s="5" t="s">
        <v>122</v>
      </c>
      <c r="J211" s="5" t="s">
        <v>35</v>
      </c>
      <c r="K211" s="4" t="s">
        <v>22</v>
      </c>
      <c r="L211">
        <v>80</v>
      </c>
      <c r="M211">
        <v>350</v>
      </c>
      <c r="N211">
        <v>265</v>
      </c>
      <c r="O211">
        <v>325</v>
      </c>
      <c r="P211">
        <v>0.84</v>
      </c>
      <c r="Q211">
        <v>2200</v>
      </c>
    </row>
    <row r="212" spans="1:17">
      <c r="A212" t="s">
        <v>92</v>
      </c>
      <c r="B212" t="s">
        <v>10</v>
      </c>
      <c r="C212" t="s">
        <v>95</v>
      </c>
      <c r="D212" t="s">
        <v>141</v>
      </c>
      <c r="E212" t="s">
        <v>21</v>
      </c>
      <c r="F212" t="s">
        <v>39</v>
      </c>
      <c r="G212">
        <v>3</v>
      </c>
      <c r="H212" t="s">
        <v>35</v>
      </c>
      <c r="I212" s="5" t="s">
        <v>122</v>
      </c>
      <c r="J212" s="5" t="s">
        <v>35</v>
      </c>
      <c r="K212" s="4" t="s">
        <v>22</v>
      </c>
      <c r="L212">
        <v>80</v>
      </c>
      <c r="M212">
        <v>350</v>
      </c>
      <c r="N212">
        <v>265</v>
      </c>
      <c r="O212">
        <v>325</v>
      </c>
      <c r="P212">
        <v>0.84</v>
      </c>
      <c r="Q212">
        <v>2200</v>
      </c>
    </row>
    <row r="213" spans="1:17">
      <c r="A213" t="s">
        <v>92</v>
      </c>
      <c r="B213" t="s">
        <v>10</v>
      </c>
      <c r="C213" t="s">
        <v>95</v>
      </c>
      <c r="D213" t="s">
        <v>1</v>
      </c>
      <c r="E213" t="s">
        <v>21</v>
      </c>
      <c r="F213" t="s">
        <v>39</v>
      </c>
      <c r="G213">
        <v>3</v>
      </c>
      <c r="H213" t="s">
        <v>35</v>
      </c>
      <c r="I213" s="5" t="s">
        <v>122</v>
      </c>
      <c r="J213" s="5" t="s">
        <v>35</v>
      </c>
      <c r="K213" s="4" t="s">
        <v>22</v>
      </c>
      <c r="L213">
        <v>80</v>
      </c>
      <c r="M213">
        <v>350</v>
      </c>
      <c r="N213">
        <v>265</v>
      </c>
      <c r="O213">
        <v>325</v>
      </c>
      <c r="P213">
        <v>0.84</v>
      </c>
      <c r="Q213">
        <v>2200</v>
      </c>
    </row>
    <row r="214" spans="1:17">
      <c r="A214" t="s">
        <v>92</v>
      </c>
      <c r="B214" t="s">
        <v>10</v>
      </c>
      <c r="C214" t="s">
        <v>95</v>
      </c>
      <c r="D214" t="s">
        <v>106</v>
      </c>
      <c r="E214" t="s">
        <v>21</v>
      </c>
      <c r="F214" t="s">
        <v>22</v>
      </c>
      <c r="G214">
        <v>3</v>
      </c>
      <c r="H214" t="s">
        <v>35</v>
      </c>
      <c r="I214" s="5" t="s">
        <v>122</v>
      </c>
      <c r="J214" s="5" t="s">
        <v>35</v>
      </c>
      <c r="K214" s="4" t="s">
        <v>60</v>
      </c>
      <c r="L214">
        <v>150</v>
      </c>
      <c r="M214">
        <v>350</v>
      </c>
      <c r="N214">
        <v>260</v>
      </c>
      <c r="O214">
        <v>300</v>
      </c>
      <c r="P214">
        <v>0.86</v>
      </c>
      <c r="Q214">
        <v>1984</v>
      </c>
    </row>
    <row r="215" spans="1:17">
      <c r="A215" t="s">
        <v>92</v>
      </c>
      <c r="B215" t="s">
        <v>10</v>
      </c>
      <c r="C215" t="s">
        <v>95</v>
      </c>
      <c r="D215" t="s">
        <v>78</v>
      </c>
      <c r="E215" t="s">
        <v>21</v>
      </c>
      <c r="F215" t="s">
        <v>22</v>
      </c>
      <c r="G215">
        <v>3</v>
      </c>
      <c r="H215" t="s">
        <v>35</v>
      </c>
      <c r="I215" s="5" t="s">
        <v>122</v>
      </c>
      <c r="J215" s="5" t="s">
        <v>35</v>
      </c>
      <c r="K215" s="4" t="s">
        <v>60</v>
      </c>
      <c r="L215">
        <v>150</v>
      </c>
      <c r="M215">
        <v>350</v>
      </c>
      <c r="N215">
        <v>260</v>
      </c>
      <c r="O215">
        <v>300</v>
      </c>
      <c r="P215">
        <v>0.86</v>
      </c>
      <c r="Q215">
        <v>1984</v>
      </c>
    </row>
    <row r="216" spans="1:17">
      <c r="A216" t="s">
        <v>92</v>
      </c>
      <c r="B216" t="s">
        <v>10</v>
      </c>
      <c r="C216" t="s">
        <v>95</v>
      </c>
      <c r="D216" t="s">
        <v>1</v>
      </c>
      <c r="E216" t="s">
        <v>21</v>
      </c>
      <c r="F216" t="s">
        <v>22</v>
      </c>
      <c r="G216">
        <v>3</v>
      </c>
      <c r="H216" t="s">
        <v>35</v>
      </c>
      <c r="I216" s="5" t="s">
        <v>122</v>
      </c>
      <c r="J216" s="5" t="s">
        <v>35</v>
      </c>
      <c r="K216" s="4" t="s">
        <v>60</v>
      </c>
      <c r="L216">
        <v>150</v>
      </c>
      <c r="M216">
        <v>350</v>
      </c>
      <c r="N216">
        <v>260</v>
      </c>
      <c r="O216">
        <v>300</v>
      </c>
      <c r="P216">
        <v>0.86</v>
      </c>
      <c r="Q216">
        <v>1984</v>
      </c>
    </row>
    <row r="217" spans="1:17">
      <c r="A217" t="s">
        <v>92</v>
      </c>
      <c r="B217" t="s">
        <v>10</v>
      </c>
      <c r="C217" t="s">
        <v>95</v>
      </c>
      <c r="D217" t="s">
        <v>1</v>
      </c>
      <c r="E217" t="s">
        <v>21</v>
      </c>
      <c r="F217" t="s">
        <v>41</v>
      </c>
      <c r="G217">
        <v>3</v>
      </c>
      <c r="H217" t="s">
        <v>35</v>
      </c>
      <c r="I217" s="5" t="s">
        <v>122</v>
      </c>
      <c r="J217" s="5" t="s">
        <v>35</v>
      </c>
      <c r="K217" s="4" t="s">
        <v>60</v>
      </c>
      <c r="L217">
        <v>150</v>
      </c>
      <c r="M217">
        <v>350</v>
      </c>
      <c r="N217">
        <v>260</v>
      </c>
      <c r="O217">
        <v>300</v>
      </c>
      <c r="P217">
        <v>0.86</v>
      </c>
      <c r="Q217">
        <v>1984</v>
      </c>
    </row>
    <row r="218" spans="1:17">
      <c r="A218" t="s">
        <v>92</v>
      </c>
      <c r="B218" t="s">
        <v>10</v>
      </c>
      <c r="C218" t="s">
        <v>95</v>
      </c>
    </row>
    <row r="219" spans="1:17">
      <c r="A219" t="s">
        <v>92</v>
      </c>
      <c r="B219" t="s">
        <v>10</v>
      </c>
      <c r="C219" t="s">
        <v>95</v>
      </c>
    </row>
    <row r="220" spans="1:17">
      <c r="A220" t="s">
        <v>92</v>
      </c>
      <c r="B220" t="s">
        <v>10</v>
      </c>
      <c r="C220" t="s">
        <v>95</v>
      </c>
    </row>
    <row r="221" spans="1:17">
      <c r="A221" t="s">
        <v>92</v>
      </c>
      <c r="B221" t="s">
        <v>10</v>
      </c>
      <c r="C221" t="s">
        <v>95</v>
      </c>
    </row>
    <row r="222" spans="1:17">
      <c r="A222" t="s">
        <v>92</v>
      </c>
      <c r="B222" t="s">
        <v>10</v>
      </c>
      <c r="C222" t="s">
        <v>95</v>
      </c>
    </row>
  </sheetData>
  <phoneticPr fontId="4" type="noConversion"/>
  <conditionalFormatting sqref="A11:B11 D11">
    <cfRule type="expression" dxfId="101" priority="232">
      <formula>COUNTIFS($A:$A,$A11,$B:$B,#REF!,$C:$C,#REF!,$D:$D,$D11,$E:$E,#REF!,$F:$F,#REF!)&gt;1</formula>
    </cfRule>
  </conditionalFormatting>
  <conditionalFormatting sqref="A13:B13 D13">
    <cfRule type="expression" dxfId="100" priority="230">
      <formula>COUNTIFS($A:$A,$A13,$B:$B,#REF!,$C:$C,#REF!,$D:$D,$D13,$E:$E,$E11,$F:$F,$F11)&gt;1</formula>
    </cfRule>
  </conditionalFormatting>
  <conditionalFormatting sqref="D57:F57 B79 A80:F99 C100 A101:F103 A107:F152 A155:F157 A154:C154 E158:E166 A158:C161 A2:F46 D47:D50 A58:F78 A159:F207 A214:F766">
    <cfRule type="expression" dxfId="99" priority="163">
      <formula>COUNTIFS($A:$A,$A2,$B:$B,$B2,$C:$C,$C2,$D:$D,$D2,$E:$E,$E2,$F:$F,$F2)&gt;1</formula>
    </cfRule>
  </conditionalFormatting>
  <conditionalFormatting sqref="B2:B34 D51:I55 A49:C62 A139:F144 A103:F136 G103:H144 G45:Q46 D56:H57 A79:I79 G47:I55 A45:F48 D49:F50 A171:Q242 I56:I78 A58:H78 A80:H102 A30:Q44 A145:H170 J47:Q170 I80:I170">
    <cfRule type="containsBlanks" dxfId="98" priority="151">
      <formula>LEN(TRIM(A2))=0</formula>
    </cfRule>
  </conditionalFormatting>
  <conditionalFormatting sqref="D18:D29 F18:F29">
    <cfRule type="expression" dxfId="97" priority="201">
      <formula>COUNTIFS($A:$A,$A18,$B:$B,#REF!,$C:$C,$B18,$D:$D,$D18,$E:$E,$E18,$F:$F,$F18)&gt;1</formula>
    </cfRule>
  </conditionalFormatting>
  <conditionalFormatting sqref="D2:F10 A12:B12 D12:F12 E13:F13 D14:F16 D17 F17 E17:E29 D39">
    <cfRule type="expression" dxfId="96" priority="221">
      <formula>COUNTIFS($A:$A,$A2,$B:$B,#REF!,$C:$C,#REF!,$D:$D,$D2,$E:$E,$E2,$F:$F,$F2)&gt;1</formula>
    </cfRule>
  </conditionalFormatting>
  <conditionalFormatting sqref="A2:B29 D13:G13 K13:Q13 I6:I43 D2:Q12 J12:J43 P31:P37 D14:Q29">
    <cfRule type="containsBlanks" dxfId="95" priority="164">
      <formula>LEN(TRIM(A2))=0</formula>
    </cfRule>
  </conditionalFormatting>
  <conditionalFormatting sqref="E11:F11">
    <cfRule type="expression" dxfId="94" priority="234">
      <formula>COUNTIFS($A:$A,$A13,$B:$B,#REF!,$C:$C,#REF!,$D:$D,$D13,$E:$E,$E11,$F:$F,$F11)&gt;1</formula>
    </cfRule>
  </conditionalFormatting>
  <conditionalFormatting sqref="D51:I55 A49:C62 A139:F144 A103:F136 G103:H144 D56:H57 A79:I79 G47:I50 G45:R46 A45:F48 D49:F50 A171:R766 I47:R78 A58:H78 A80:H102 A2:R44 A145:H170 J79:R170 I80:I170">
    <cfRule type="containsText" dxfId="93" priority="150" operator="containsText" text="itv">
      <formula>NOT(ISERROR(SEARCH("itv",A2)))</formula>
    </cfRule>
  </conditionalFormatting>
  <conditionalFormatting sqref="B45">
    <cfRule type="containsBlanks" dxfId="92" priority="149">
      <formula>LEN(TRIM(B45))=0</formula>
    </cfRule>
  </conditionalFormatting>
  <conditionalFormatting sqref="D52 A51:C78 B79 B145">
    <cfRule type="expression" dxfId="91" priority="243">
      <formula>COUNTIFS($A:$A,$A51,$B:$B,$B51,$C:$C,$C51,$D:$D,#REF!,$E:$E,$E51,$F:$F,$F51)&gt;1</formula>
    </cfRule>
  </conditionalFormatting>
  <conditionalFormatting sqref="E47:F47 E52:F52">
    <cfRule type="expression" dxfId="90" priority="252">
      <formula>COUNTIFS($A:$A,$A47,$B:$B,$B47,$C:$C,$C47,$D:$D,$D51,$E:$E,$E47,$F:$F,$F47)&gt;1</formula>
    </cfRule>
  </conditionalFormatting>
  <conditionalFormatting sqref="D51">
    <cfRule type="expression" dxfId="89" priority="296">
      <formula>COUNTIFS($A:$A,$A47,$B:$B,$B47,$C:$C,$C47,$D:$D,$D51,$E:$E,$E47,$F:$F,$F47)&gt;1</formula>
    </cfRule>
  </conditionalFormatting>
  <conditionalFormatting sqref="E48:F49">
    <cfRule type="expression" dxfId="88" priority="323">
      <formula>COUNTIFS($A:$A,$A48,$B:$B,$B48,$C:$C,$C48,$D:$D,$D53,$E:$E,$E48,$F:$F,$F48)&gt;1</formula>
    </cfRule>
  </conditionalFormatting>
  <conditionalFormatting sqref="E51:F51">
    <cfRule type="expression" dxfId="87" priority="324">
      <formula>COUNTIFS($A:$A,$A51,$B:$B,$B51,$C:$C,$C51,$D:$D,$D54,$E:$E,$E51,$F:$F,$F51)&gt;1</formula>
    </cfRule>
  </conditionalFormatting>
  <conditionalFormatting sqref="D53:D55">
    <cfRule type="expression" dxfId="86" priority="326">
      <formula>COUNTIFS($A:$A,$A48,$B:$B,$B48,$C:$C,$C48,$D:$D,$D53,$E:$E,$E48,$F:$F,$F48)&gt;1</formula>
    </cfRule>
  </conditionalFormatting>
  <conditionalFormatting sqref="E50:F50">
    <cfRule type="expression" dxfId="85" priority="354">
      <formula>COUNTIFS($A:$A,$A50,$B:$B,$B50,$C:$C,$C50,$D:$D,$D56,$E:$E,$E50,$F:$F,$F50)&gt;1</formula>
    </cfRule>
  </conditionalFormatting>
  <conditionalFormatting sqref="D56">
    <cfRule type="expression" dxfId="84" priority="358">
      <formula>COUNTIFS($A:$A,$A50,$B:$B,$B50,$C:$C,$C50,$D:$D,$D56,$E:$E,$E50,$F:$F,$F50)&gt;1</formula>
    </cfRule>
  </conditionalFormatting>
  <conditionalFormatting sqref="A79 C79:G79 G82 G85 G88 G90 G93 G96 G99:G100 A145 C145">
    <cfRule type="expression" dxfId="83" priority="367">
      <formula>COUNTIFS($A:$A,#REF!,$B:$B,$A79,$C:$C,$C79,$D:$D,$D79,$E:$E,$E79,$F:$F,$F79)&gt;1</formula>
    </cfRule>
  </conditionalFormatting>
  <conditionalFormatting sqref="J79:J170">
    <cfRule type="expression" dxfId="82" priority="433">
      <formula>COUNTIFS($A:$A,#REF!,$B:$B,$A79,$C:$C,$B79,$D:$D,$D79,$E:$E,$E79,$F:$F,$F79)&gt;1</formula>
    </cfRule>
  </conditionalFormatting>
  <conditionalFormatting sqref="A100:B100 D100:F103 E112:F112 E114:F114 E117:F117 E122:F122 E119:F119 E124:F124 E126:F126 E131:F131 E128:F128 E133:F133 E135:F135 E139:F139 E137:F137 E141:F141 E143:F143">
    <cfRule type="expression" dxfId="81" priority="449">
      <formula>COUNTIFS($A:$A,$A100,$B:$B,#REF!,$C:$C,$B100,$D:$D,$D100,$E:$E,$E100,$F:$F,$F100)&gt;1</formula>
    </cfRule>
  </conditionalFormatting>
  <conditionalFormatting sqref="G105:G125 G128:G134 G157:G159 G137:G144 G147:G154 G161:G170">
    <cfRule type="expression" dxfId="80" priority="501">
      <formula>COUNTIFS($A:$A,#REF!,$B:$B,$A103,$C:$C,$C103,$D:$D,$D103,$E:$E,$E103,$F:$F,$F103)&gt;1</formula>
    </cfRule>
  </conditionalFormatting>
  <conditionalFormatting sqref="D104:F106 E107:F109 E113:F113 E118:F118 E123:F123 E126:F133">
    <cfRule type="expression" dxfId="79" priority="515">
      <formula>COUNTIFS($A:$A,$A105,$B:$B,$B105,$C:$C,$C105,$D:$D,$D104,$E:$E,$E104,$F:$F,$F104)&gt;1</formula>
    </cfRule>
  </conditionalFormatting>
  <conditionalFormatting sqref="A105:C106">
    <cfRule type="expression" dxfId="78" priority="516">
      <formula>COUNTIFS($A:$A,$A105,$B:$B,$B105,$C:$C,$C105,$D:$D,$D104,$E:$E,$E104,$F:$F,$F104)&gt;1</formula>
    </cfRule>
  </conditionalFormatting>
  <conditionalFormatting sqref="A104:C104">
    <cfRule type="expression" dxfId="77" priority="517">
      <formula>COUNTIFS($A:$A,$A104,$B:$B,$B104,$C:$C,$C104,$D:$D,#REF!,$E:$E,#REF!,$F:$F,#REF!)&gt;1</formula>
    </cfRule>
  </conditionalFormatting>
  <conditionalFormatting sqref="D104:F104 E105:F109 E113:F113 E118:F118 E123:F123 E126:F133">
    <cfRule type="expression" dxfId="76" priority="565">
      <formula>COUNTIFS($A:$A,$A105,$B:$B,#REF!,$C:$C,$B105,$D:$D,$D104,$E:$E,$E104,$F:$F,$F104)&gt;1</formula>
    </cfRule>
  </conditionalFormatting>
  <conditionalFormatting sqref="E110:F111">
    <cfRule type="expression" dxfId="75" priority="642">
      <formula>COUNTIFS($A:$A,$A112,$B:$B,$B112,$C:$C,$C112,$D:$D,$D110,$E:$E,$E110,$F:$F,$F110)&gt;1</formula>
    </cfRule>
  </conditionalFormatting>
  <conditionalFormatting sqref="E110:F111">
    <cfRule type="expression" dxfId="74" priority="644">
      <formula>COUNTIFS($A:$A,$A112,$B:$B,#REF!,$C:$C,$B112,$D:$D,$D110,$E:$E,$E110,$F:$F,$F110)&gt;1</formula>
    </cfRule>
  </conditionalFormatting>
  <conditionalFormatting sqref="D153:F153 E115:F116 E120:F121 E125:F125 E129:F130 E134:F134 E136:F136 E140:F140 E138:F138 E142:F142 E144:F144">
    <cfRule type="expression" dxfId="73" priority="648">
      <formula>COUNTIFS($A:$A,#REF!,$B:$B,#REF!,$C:$C,#REF!,$D:$D,$D115,$E:$E,$E115,$F:$F,$F115)&gt;1</formula>
    </cfRule>
  </conditionalFormatting>
  <conditionalFormatting sqref="E136:F136 E138:F138">
    <cfRule type="expression" dxfId="72" priority="780">
      <formula>COUNTIFS($A:$A,$A139,$B:$B,$B139,$C:$C,$C139,$D:$D,$D136,$E:$E,$E136,$F:$F,$F136)&gt;1</formula>
    </cfRule>
  </conditionalFormatting>
  <conditionalFormatting sqref="E136:F136 E138:F138">
    <cfRule type="expression" dxfId="71" priority="781">
      <formula>COUNTIFS($A:$A,$A139,$B:$B,#REF!,$C:$C,$B139,$D:$D,$D136,$E:$E,$E136,$F:$F,$F136)&gt;1</formula>
    </cfRule>
  </conditionalFormatting>
  <conditionalFormatting sqref="A137:F138">
    <cfRule type="containsBlanks" dxfId="70" priority="73">
      <formula>LEN(TRIM(A137))=0</formula>
    </cfRule>
  </conditionalFormatting>
  <conditionalFormatting sqref="A137:F138">
    <cfRule type="containsText" dxfId="69" priority="72" operator="containsText" text="itv">
      <formula>NOT(ISERROR(SEARCH("itv",A137)))</formula>
    </cfRule>
  </conditionalFormatting>
  <conditionalFormatting sqref="G135 G126">
    <cfRule type="expression" dxfId="68" priority="860">
      <formula>COUNTIFS($A:$A,#REF!,$B:$B,$A125,$C:$C,$C125,$D:$D,$D125,$E:$E,$E125,$F:$F,$F125)&gt;1</formula>
    </cfRule>
  </conditionalFormatting>
  <conditionalFormatting sqref="G136 G127">
    <cfRule type="expression" dxfId="67" priority="862">
      <formula>COUNTIFS($A:$A,#REF!,$B:$B,#REF!,$C:$C,#REF!,$D:$D,#REF!,$E:$E,#REF!,$F:$F,#REF!)&gt;1</formula>
    </cfRule>
  </conditionalFormatting>
  <conditionalFormatting sqref="A153:C153">
    <cfRule type="expression" dxfId="66" priority="877">
      <formula>COUNTIFS($A:$A,$A153,$B:$B,$B153,$C:$C,$C153,$D:$D,$D154,$E:$E,$E154,$F:$F,$F154)&gt;1</formula>
    </cfRule>
  </conditionalFormatting>
  <conditionalFormatting sqref="D154:F154">
    <cfRule type="expression" dxfId="65" priority="878">
      <formula>COUNTIFS($A:$A,$A153,$B:$B,$B153,$C:$C,$C153,$D:$D,$D154,$E:$E,$E154,$F:$F,$F154)&gt;1</formula>
    </cfRule>
  </conditionalFormatting>
  <conditionalFormatting sqref="G156">
    <cfRule type="expression" dxfId="64" priority="943">
      <formula>COUNTIFS($A:$A,#REF!,$B:$B,$A153,$C:$C,$C153,$D:$D,$D154,$E:$E,$E154,$F:$F,$F154)&gt;1</formula>
    </cfRule>
  </conditionalFormatting>
  <conditionalFormatting sqref="G155">
    <cfRule type="expression" dxfId="63" priority="944">
      <formula>COUNTIFS($A:$A,#REF!,$B:$B,#REF!,$C:$C,#REF!,$D:$D,$D153,$E:$E,$E153,$F:$F,$F153)&gt;1</formula>
    </cfRule>
  </conditionalFormatting>
  <conditionalFormatting sqref="A158:D158 F158:F170">
    <cfRule type="expression" dxfId="62" priority="960">
      <formula>COUNTIFS($A:$A,$A158,$B:$B,$B158,$C:$C,$C158,$D:$D,$D158,$E:$E,$F158,$F:$F,#REF!)&gt;1</formula>
    </cfRule>
  </conditionalFormatting>
  <conditionalFormatting sqref="G160">
    <cfRule type="expression" dxfId="61" priority="1032">
      <formula>COUNTIFS($A:$A,#REF!,$B:$B,$A158,$C:$C,$C158,$D:$D,$D158,$E:$E,$F158,$F:$F,#REF!)&gt;1</formula>
    </cfRule>
  </conditionalFormatting>
  <conditionalFormatting sqref="A162:C162">
    <cfRule type="expression" dxfId="60" priority="59">
      <formula>COUNTIFS($A:$A,$A162,$B:$B,$B162,$C:$C,$C162,$D:$D,$D162,$E:$E,$F162,$F:$F,#REF!)&gt;1</formula>
    </cfRule>
  </conditionalFormatting>
  <conditionalFormatting sqref="J44">
    <cfRule type="containsBlanks" dxfId="59" priority="57">
      <formula>LEN(TRIM(J44))=0</formula>
    </cfRule>
  </conditionalFormatting>
  <conditionalFormatting sqref="I45 I47 I49 I51 I53 I55:I56 I58 I68 I60 I70 I62 I72 I64 I74 I66 I76:I77">
    <cfRule type="containsBlanks" dxfId="58" priority="56">
      <formula>LEN(TRIM(I45))=0</formula>
    </cfRule>
  </conditionalFormatting>
  <conditionalFormatting sqref="I46 I48 I50 I52 I54 I57 I67 I78 I59 I69 I61 I71 I63 I73 I65 I75">
    <cfRule type="containsBlanks" dxfId="57" priority="55">
      <formula>LEN(TRIM(I46))=0</formula>
    </cfRule>
  </conditionalFormatting>
  <conditionalFormatting sqref="J81 J84 J87 J90 J93 J96 J99 J101 J104 J107 J110 J113 J116 J119 J122 J125 J128 J131 J134 J137 J140 J143 J145 J148 J151 J154 J157 J160 J163 J166 J169">
    <cfRule type="containsBlanks" dxfId="56" priority="53">
      <formula>LEN(TRIM(J81))=0</formula>
    </cfRule>
  </conditionalFormatting>
  <conditionalFormatting sqref="J79 J82 J85 J88 J91 J94 J97 J100 J105 J108 J111 J114 J117 J120 J123 J126 J129 J132 J135 J138 J141 J144 J146 J149 J152 J155 J158 J161 J164 J167 J170">
    <cfRule type="containsBlanks" dxfId="55" priority="52">
      <formula>LEN(TRIM(J79))=0</formula>
    </cfRule>
  </conditionalFormatting>
  <conditionalFormatting sqref="J80 J83 J86 J89 J92 J95 J98 J102:J103 J106 J109 J112 J115 J118 J121 J124 J127 J130 J133 J136 J139 J142 J147 J150 J153 J156 J159 J162 J165 J168">
    <cfRule type="containsBlanks" dxfId="54" priority="51">
      <formula>LEN(TRIM(J80))=0</formula>
    </cfRule>
  </conditionalFormatting>
  <conditionalFormatting sqref="P42">
    <cfRule type="containsBlanks" dxfId="53" priority="50">
      <formula>LEN(TRIM(P42))=0</formula>
    </cfRule>
  </conditionalFormatting>
  <conditionalFormatting sqref="P43">
    <cfRule type="containsBlanks" dxfId="52" priority="49">
      <formula>LEN(TRIM(P43))=0</formula>
    </cfRule>
  </conditionalFormatting>
  <conditionalFormatting sqref="P82">
    <cfRule type="containsBlanks" dxfId="51" priority="48">
      <formula>LEN(TRIM(P82))=0</formula>
    </cfRule>
  </conditionalFormatting>
  <conditionalFormatting sqref="P83">
    <cfRule type="containsBlanks" dxfId="50" priority="47">
      <formula>LEN(TRIM(P83))=0</formula>
    </cfRule>
  </conditionalFormatting>
  <conditionalFormatting sqref="P84">
    <cfRule type="containsBlanks" dxfId="49" priority="46">
      <formula>LEN(TRIM(P84))=0</formula>
    </cfRule>
  </conditionalFormatting>
  <conditionalFormatting sqref="P85">
    <cfRule type="containsBlanks" dxfId="48" priority="45">
      <formula>LEN(TRIM(P85))=0</formula>
    </cfRule>
  </conditionalFormatting>
  <conditionalFormatting sqref="P45">
    <cfRule type="containsBlanks" dxfId="47" priority="44">
      <formula>LEN(TRIM(P45))=0</formula>
    </cfRule>
  </conditionalFormatting>
  <conditionalFormatting sqref="P46">
    <cfRule type="containsBlanks" dxfId="46" priority="43">
      <formula>LEN(TRIM(P46))=0</formula>
    </cfRule>
  </conditionalFormatting>
  <conditionalFormatting sqref="P47">
    <cfRule type="containsBlanks" dxfId="45" priority="42">
      <formula>LEN(TRIM(P47))=0</formula>
    </cfRule>
  </conditionalFormatting>
  <conditionalFormatting sqref="P57">
    <cfRule type="containsBlanks" dxfId="44" priority="41">
      <formula>LEN(TRIM(P57))=0</formula>
    </cfRule>
  </conditionalFormatting>
  <conditionalFormatting sqref="P56">
    <cfRule type="containsBlanks" dxfId="43" priority="40">
      <formula>LEN(TRIM(P56))=0</formula>
    </cfRule>
  </conditionalFormatting>
  <conditionalFormatting sqref="P55">
    <cfRule type="containsBlanks" dxfId="42" priority="39">
      <formula>LEN(TRIM(P55))=0</formula>
    </cfRule>
  </conditionalFormatting>
  <conditionalFormatting sqref="P54">
    <cfRule type="containsBlanks" dxfId="41" priority="38">
      <formula>LEN(TRIM(P54))=0</formula>
    </cfRule>
  </conditionalFormatting>
  <conditionalFormatting sqref="P53">
    <cfRule type="containsBlanks" dxfId="40" priority="37">
      <formula>LEN(TRIM(P53))=0</formula>
    </cfRule>
  </conditionalFormatting>
  <conditionalFormatting sqref="P52">
    <cfRule type="containsBlanks" dxfId="39" priority="36">
      <formula>LEN(TRIM(P52))=0</formula>
    </cfRule>
  </conditionalFormatting>
  <conditionalFormatting sqref="P51">
    <cfRule type="containsBlanks" dxfId="38" priority="35">
      <formula>LEN(TRIM(P51))=0</formula>
    </cfRule>
  </conditionalFormatting>
  <conditionalFormatting sqref="P50">
    <cfRule type="containsBlanks" dxfId="37" priority="34">
      <formula>LEN(TRIM(P50))=0</formula>
    </cfRule>
  </conditionalFormatting>
  <conditionalFormatting sqref="P49">
    <cfRule type="containsBlanks" dxfId="36" priority="33">
      <formula>LEN(TRIM(P49))=0</formula>
    </cfRule>
  </conditionalFormatting>
  <conditionalFormatting sqref="P48">
    <cfRule type="containsBlanks" dxfId="35" priority="32">
      <formula>LEN(TRIM(P48))=0</formula>
    </cfRule>
  </conditionalFormatting>
  <conditionalFormatting sqref="P107">
    <cfRule type="containsBlanks" dxfId="34" priority="31">
      <formula>LEN(TRIM(P107))=0</formula>
    </cfRule>
  </conditionalFormatting>
  <conditionalFormatting sqref="P116">
    <cfRule type="containsBlanks" dxfId="33" priority="30">
      <formula>LEN(TRIM(P116))=0</formula>
    </cfRule>
  </conditionalFormatting>
  <conditionalFormatting sqref="P115">
    <cfRule type="containsBlanks" dxfId="32" priority="29">
      <formula>LEN(TRIM(P115))=0</formula>
    </cfRule>
  </conditionalFormatting>
  <conditionalFormatting sqref="P114">
    <cfRule type="containsBlanks" dxfId="31" priority="28">
      <formula>LEN(TRIM(P114))=0</formula>
    </cfRule>
  </conditionalFormatting>
  <conditionalFormatting sqref="P113">
    <cfRule type="containsBlanks" dxfId="30" priority="27">
      <formula>LEN(TRIM(P113))=0</formula>
    </cfRule>
  </conditionalFormatting>
  <conditionalFormatting sqref="P112">
    <cfRule type="containsBlanks" dxfId="29" priority="26">
      <formula>LEN(TRIM(P112))=0</formula>
    </cfRule>
  </conditionalFormatting>
  <conditionalFormatting sqref="P111">
    <cfRule type="containsBlanks" dxfId="28" priority="25">
      <formula>LEN(TRIM(P111))=0</formula>
    </cfRule>
  </conditionalFormatting>
  <conditionalFormatting sqref="P110">
    <cfRule type="containsBlanks" dxfId="27" priority="24">
      <formula>LEN(TRIM(P110))=0</formula>
    </cfRule>
  </conditionalFormatting>
  <conditionalFormatting sqref="P109">
    <cfRule type="containsBlanks" dxfId="26" priority="23">
      <formula>LEN(TRIM(P109))=0</formula>
    </cfRule>
  </conditionalFormatting>
  <conditionalFormatting sqref="P108">
    <cfRule type="containsBlanks" dxfId="25" priority="22">
      <formula>LEN(TRIM(P108))=0</formula>
    </cfRule>
  </conditionalFormatting>
  <conditionalFormatting sqref="P90">
    <cfRule type="containsBlanks" dxfId="24" priority="21">
      <formula>LEN(TRIM(P90))=0</formula>
    </cfRule>
  </conditionalFormatting>
  <conditionalFormatting sqref="P91">
    <cfRule type="containsBlanks" dxfId="23" priority="20">
      <formula>LEN(TRIM(P91))=0</formula>
    </cfRule>
  </conditionalFormatting>
  <conditionalFormatting sqref="P92">
    <cfRule type="containsBlanks" dxfId="22" priority="19">
      <formula>LEN(TRIM(P92))=0</formula>
    </cfRule>
  </conditionalFormatting>
  <conditionalFormatting sqref="P93">
    <cfRule type="containsBlanks" dxfId="21" priority="18">
      <formula>LEN(TRIM(P93))=0</formula>
    </cfRule>
  </conditionalFormatting>
  <conditionalFormatting sqref="P31">
    <cfRule type="containsBlanks" dxfId="20" priority="17">
      <formula>LEN(TRIM(P31))=0</formula>
    </cfRule>
  </conditionalFormatting>
  <conditionalFormatting sqref="P146">
    <cfRule type="containsBlanks" dxfId="19" priority="16">
      <formula>LEN(TRIM(P146))=0</formula>
    </cfRule>
  </conditionalFormatting>
  <conditionalFormatting sqref="P147">
    <cfRule type="containsBlanks" dxfId="18" priority="15">
      <formula>LEN(TRIM(P147))=0</formula>
    </cfRule>
  </conditionalFormatting>
  <conditionalFormatting sqref="P148">
    <cfRule type="containsBlanks" dxfId="17" priority="14">
      <formula>LEN(TRIM(P148))=0</formula>
    </cfRule>
  </conditionalFormatting>
  <conditionalFormatting sqref="P149">
    <cfRule type="containsBlanks" dxfId="16" priority="13">
      <formula>LEN(TRIM(P149))=0</formula>
    </cfRule>
  </conditionalFormatting>
  <conditionalFormatting sqref="P39">
    <cfRule type="containsBlanks" dxfId="15" priority="12">
      <formula>LEN(TRIM(P39))=0</formula>
    </cfRule>
  </conditionalFormatting>
  <conditionalFormatting sqref="P162">
    <cfRule type="containsBlanks" dxfId="14" priority="11">
      <formula>LEN(TRIM(P162))=0</formula>
    </cfRule>
  </conditionalFormatting>
  <conditionalFormatting sqref="P163">
    <cfRule type="containsBlanks" dxfId="13" priority="10">
      <formula>LEN(TRIM(P163))=0</formula>
    </cfRule>
  </conditionalFormatting>
  <conditionalFormatting sqref="P164">
    <cfRule type="containsBlanks" dxfId="12" priority="9">
      <formula>LEN(TRIM(P164))=0</formula>
    </cfRule>
  </conditionalFormatting>
  <conditionalFormatting sqref="P165">
    <cfRule type="containsBlanks" dxfId="11" priority="8">
      <formula>LEN(TRIM(P165))=0</formula>
    </cfRule>
  </conditionalFormatting>
  <conditionalFormatting sqref="D39">
    <cfRule type="containsBlanks" dxfId="10" priority="6">
      <formula>LEN(TRIM(D39))=0</formula>
    </cfRule>
  </conditionalFormatting>
  <conditionalFormatting sqref="P38">
    <cfRule type="containsBlanks" dxfId="9" priority="5">
      <formula>LEN(TRIM(P38))=0</formula>
    </cfRule>
  </conditionalFormatting>
  <conditionalFormatting sqref="P158">
    <cfRule type="containsBlanks" dxfId="8" priority="4">
      <formula>LEN(TRIM(P158))=0</formula>
    </cfRule>
  </conditionalFormatting>
  <conditionalFormatting sqref="P159">
    <cfRule type="containsBlanks" dxfId="7" priority="3">
      <formula>LEN(TRIM(P159))=0</formula>
    </cfRule>
  </conditionalFormatting>
  <conditionalFormatting sqref="P160">
    <cfRule type="containsBlanks" dxfId="6" priority="2">
      <formula>LEN(TRIM(P160))=0</formula>
    </cfRule>
  </conditionalFormatting>
  <conditionalFormatting sqref="P161">
    <cfRule type="containsBlanks" dxfId="5" priority="1">
      <formula>LEN(TRIM(P161))=0</formula>
    </cfRule>
  </conditionalFormatting>
  <conditionalFormatting sqref="E208:E217">
    <cfRule type="expression" dxfId="4" priority="1052">
      <formula>COUNTIFS($A:$A,$A205,$B:$B,$B205,$C:$C,$C205,$D:$D,$D205,$E:$E,$E208,$F:$F,$F205)&gt;1</formula>
    </cfRule>
  </conditionalFormatting>
  <conditionalFormatting sqref="F208:F213">
    <cfRule type="expression" dxfId="3" priority="1053">
      <formula>COUNTIFS($A:$A,$A208,$B:$B,$B208,$C:$C,$C208,$D:$D,$D208,$E:$E,$E211,$F:$F,$F208)&gt;1</formula>
    </cfRule>
  </conditionalFormatting>
  <conditionalFormatting sqref="A211:D213 F211:F213">
    <cfRule type="expression" dxfId="2" priority="1055">
      <formula>COUNTIFS($A:$A,$A211,$B:$B,$B211,$C:$C,$C211,$D:$D,$D211,$E:$E,#REF!,$F:$F,$F211)&gt;1</formula>
    </cfRule>
  </conditionalFormatting>
  <conditionalFormatting sqref="G145 G101:G102">
    <cfRule type="expression" dxfId="1" priority="1154">
      <formula>COUNTIFS($A:$A,#REF!,$B:$B,$A100,$C:$C,$C100,$D:$D,$D100,$E:$E,$E100,$F:$F,$F100)&gt;1</formula>
    </cfRule>
  </conditionalFormatting>
  <conditionalFormatting sqref="G146 G103:G104">
    <cfRule type="expression" dxfId="0" priority="1156">
      <formula>COUNTIFS($A:$A,#REF!,$B:$B,#REF!,$C:$C,#REF!,$D:$D,#REF!,$E:$E,#REF!,$F:$F,#REF!)&gt;1</formula>
    </cfRule>
  </conditionalFormatting>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Tankers</vt:lpstr>
      <vt:lpstr>Receivers</vt:lpstr>
      <vt:lpstr>Specifications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 Westerhout</dc:creator>
  <cp:lastModifiedBy>Mike van Mierlo</cp:lastModifiedBy>
  <dcterms:created xsi:type="dcterms:W3CDTF">2025-10-29T11:31:57Z</dcterms:created>
  <dcterms:modified xsi:type="dcterms:W3CDTF">2025-12-12T13:16:13Z</dcterms:modified>
</cp:coreProperties>
</file>