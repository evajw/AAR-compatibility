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 Files\PostgreSQL\18\data\"/>
    </mc:Choice>
  </mc:AlternateContent>
  <xr:revisionPtr revIDLastSave="0" documentId="13_ncr:1_{83308C18-33EE-4B50-BEC3-333D489D507C}" xr6:coauthVersionLast="47" xr6:coauthVersionMax="47" xr10:uidLastSave="{00000000-0000-0000-0000-000000000000}"/>
  <bookViews>
    <workbookView xWindow="-108" yWindow="-108" windowWidth="23256" windowHeight="12456" activeTab="2" xr2:uid="{C3389D4E-ADE2-4E83-940C-EE3414B70919}"/>
  </bookViews>
  <sheets>
    <sheet name="Tankers" sheetId="1" r:id="rId1"/>
    <sheet name="Receivers" sheetId="2" r:id="rId2"/>
    <sheet name="Specifi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A2" i="2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<sst xmlns="http://schemas.openxmlformats.org/spreadsheetml/2006/main" count="165" uniqueCount="50">
  <si>
    <t>C-17</t>
  </si>
  <si>
    <t>USA</t>
  </si>
  <si>
    <t>Australia</t>
  </si>
  <si>
    <t>type</t>
  </si>
  <si>
    <t>model</t>
  </si>
  <si>
    <t>nation</t>
  </si>
  <si>
    <t>fuel_flow_rate</t>
  </si>
  <si>
    <t>boom_drogue</t>
  </si>
  <si>
    <t>max_alt</t>
  </si>
  <si>
    <t>min_as</t>
  </si>
  <si>
    <t>max_as</t>
  </si>
  <si>
    <t>notes</t>
  </si>
  <si>
    <t>A330 MRTT</t>
  </si>
  <si>
    <t>KC-30A</t>
  </si>
  <si>
    <t>tanker_model</t>
  </si>
  <si>
    <t>receiver_model</t>
  </si>
  <si>
    <t>receiver_nation</t>
  </si>
  <si>
    <t>min_alt</t>
  </si>
  <si>
    <t>tanker_nation</t>
  </si>
  <si>
    <t>c_tanker</t>
  </si>
  <si>
    <t>c_receiver</t>
  </si>
  <si>
    <t>E-7</t>
  </si>
  <si>
    <t>EA-18</t>
  </si>
  <si>
    <t>F-35</t>
  </si>
  <si>
    <t>C-17A</t>
  </si>
  <si>
    <t>E-7A</t>
  </si>
  <si>
    <t>EA-18G</t>
  </si>
  <si>
    <t>F/A-18A</t>
  </si>
  <si>
    <t>F35A</t>
  </si>
  <si>
    <t>P-8A</t>
  </si>
  <si>
    <t>B</t>
  </si>
  <si>
    <t>D</t>
  </si>
  <si>
    <t>tanker_type</t>
  </si>
  <si>
    <t>receiver_type</t>
  </si>
  <si>
    <t>F/</t>
  </si>
  <si>
    <t>A-10</t>
  </si>
  <si>
    <t>A-10C</t>
  </si>
  <si>
    <t>B-1B</t>
  </si>
  <si>
    <t>B-1</t>
  </si>
  <si>
    <t>B-2</t>
  </si>
  <si>
    <t>B-52</t>
  </si>
  <si>
    <t>B-52H</t>
  </si>
  <si>
    <t>F-16</t>
  </si>
  <si>
    <t>F-16C</t>
  </si>
  <si>
    <t>F-22A</t>
  </si>
  <si>
    <t>F-22</t>
  </si>
  <si>
    <t>F-35A</t>
  </si>
  <si>
    <t>B-2A</t>
  </si>
  <si>
    <t>F-35B</t>
  </si>
  <si>
    <t>F-35C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</si>
</sst>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ard" xfId="0" builtinId="0"/>
  </cellStyles>
  <dxfs count="11"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D94B-B6DA-4A2A-8457-BB42AF731B76}">
  <dimension ref="A1:C2"/>
  <sheetViews>
    <sheetView workbookViewId="0">
      <selection activeCell="B2" sqref="B2"/>
    </sheetView>
  </sheetViews>
  <sheetFormatPr defaultRowHeight="14.4" x14ac:dyDescent="0.3"/>
  <cols>
    <col min="1" max="3" width="21.88671875" customWidth="1"/>
  </cols>
  <sheetData>
    <row r="1" spans="1:3" x14ac:dyDescent="0.3">
      <c r="A1" s="1" t="s">
        <v>5</v>
      </c>
      <c r="B1" s="1" t="s">
        <v>3</v>
      </c>
      <c r="C1" s="1" t="s">
        <v>4</v>
      </c>
    </row>
    <row r="2" spans="1:3" x14ac:dyDescent="0.3">
      <c r="A2" t="str" cm="1">
        <f t="array" ref="A2:C2" xml:space="preserve"> _xlfn.UNIQUE(_xlfn._xlws.FILTER(Specifications!A2:C100, (Specifications!A2:A100&lt;&gt;"") * (Specifications!B2:B100&lt;&gt;"") * (Specifications!C2:C100&lt;&gt;"")))</f>
        <v>Australia</v>
      </c>
      <c r="B2" t="str">
        <v>A330 MRTT</v>
      </c>
      <c r="C2" t="str">
        <v>KC-30A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CEE5-E55E-42D5-9D01-EC55656266E4}">
  <dimension ref="A1:C16"/>
  <sheetViews>
    <sheetView workbookViewId="0">
      <selection activeCell="B4" sqref="B4"/>
    </sheetView>
  </sheetViews>
  <sheetFormatPr defaultRowHeight="14.4" x14ac:dyDescent="0.3"/>
  <cols>
    <col min="1" max="3" width="14.21875" customWidth="1"/>
  </cols>
  <sheetData>
    <row r="1" spans="1:3" x14ac:dyDescent="0.3">
      <c r="A1" s="1" t="s">
        <v>5</v>
      </c>
      <c r="B1" s="1" t="s">
        <v>3</v>
      </c>
      <c r="C1" s="1" t="s">
        <v>4</v>
      </c>
    </row>
    <row r="2" spans="1:3" x14ac:dyDescent="0.3">
      <c r="A2" t="str" cm="1">
        <f t="array" ref="A2:C16" xml:space="preserve"> _xlfn.UNIQUE(_xlfn._xlws.FILTER(Specifications!D2:F100, (Specifications!D2:D100&lt;&gt;"") * (Specifications!E2:E100&lt;&gt;"") * (Specifications!F2:F100&lt;&gt;"")))</f>
        <v>Australia</v>
      </c>
      <c r="B2" t="str">
        <v>C-17</v>
      </c>
      <c r="C2" t="str">
        <v>C-17A</v>
      </c>
    </row>
    <row r="3" spans="1:3" x14ac:dyDescent="0.3">
      <c r="A3" t="str">
        <v>Australia</v>
      </c>
      <c r="B3" t="str">
        <v>E-7</v>
      </c>
      <c r="C3" t="str">
        <v>E-7A</v>
      </c>
    </row>
    <row r="4" spans="1:3" x14ac:dyDescent="0.3">
      <c r="A4" t="str">
        <v>Australia</v>
      </c>
      <c r="B4" t="str">
        <v>EA-18</v>
      </c>
      <c r="C4" t="str">
        <v>EA-18G</v>
      </c>
    </row>
    <row r="5" spans="1:3" x14ac:dyDescent="0.3">
      <c r="A5" t="str">
        <v>Australia</v>
      </c>
      <c r="B5" t="str">
        <v>F/</v>
      </c>
      <c r="C5" t="str">
        <v>F/A-18A</v>
      </c>
    </row>
    <row r="6" spans="1:3" x14ac:dyDescent="0.3">
      <c r="A6" t="str">
        <v>Australia</v>
      </c>
      <c r="B6" t="str">
        <v>B-1</v>
      </c>
      <c r="C6" t="str">
        <v>B-1B</v>
      </c>
    </row>
    <row r="7" spans="1:3" x14ac:dyDescent="0.3">
      <c r="A7" t="str">
        <v>USA</v>
      </c>
      <c r="B7" t="str">
        <v>A-10</v>
      </c>
      <c r="C7" t="str">
        <v>A-10C</v>
      </c>
    </row>
    <row r="8" spans="1:3" x14ac:dyDescent="0.3">
      <c r="A8" t="str">
        <v>USA</v>
      </c>
      <c r="B8" t="str">
        <v>C-17</v>
      </c>
      <c r="C8" t="str">
        <v>C-17A</v>
      </c>
    </row>
    <row r="9" spans="1:3" x14ac:dyDescent="0.3">
      <c r="A9" t="str">
        <v>USA</v>
      </c>
      <c r="B9" t="str">
        <v>B-1</v>
      </c>
      <c r="C9" t="str">
        <v>B-1B</v>
      </c>
    </row>
    <row r="10" spans="1:3" x14ac:dyDescent="0.3">
      <c r="A10" t="str">
        <v>USA</v>
      </c>
      <c r="B10" t="str">
        <v>B-2</v>
      </c>
      <c r="C10" t="str">
        <v>B-2A</v>
      </c>
    </row>
    <row r="11" spans="1:3" x14ac:dyDescent="0.3">
      <c r="A11" t="str">
        <v>USA</v>
      </c>
      <c r="B11" t="str">
        <v>B-52</v>
      </c>
      <c r="C11" t="str">
        <v>B-52H</v>
      </c>
    </row>
    <row r="12" spans="1:3" x14ac:dyDescent="0.3">
      <c r="A12" t="str">
        <v>USA</v>
      </c>
      <c r="B12" t="str">
        <v>F-16</v>
      </c>
      <c r="C12" t="str">
        <v>F-16C</v>
      </c>
    </row>
    <row r="13" spans="1:3" x14ac:dyDescent="0.3">
      <c r="A13" t="str">
        <v>USA</v>
      </c>
      <c r="B13" t="str">
        <v>F-22</v>
      </c>
      <c r="C13" t="str">
        <v>F-22A</v>
      </c>
    </row>
    <row r="14" spans="1:3" x14ac:dyDescent="0.3">
      <c r="A14" t="str">
        <v>USA</v>
      </c>
      <c r="B14" t="str">
        <v>F-35</v>
      </c>
      <c r="C14" t="str">
        <v>F-35A</v>
      </c>
    </row>
    <row r="15" spans="1:3" x14ac:dyDescent="0.3">
      <c r="A15" t="str">
        <v>USA</v>
      </c>
      <c r="B15" t="str">
        <v>F-35</v>
      </c>
      <c r="C15" t="str">
        <v>F-35B</v>
      </c>
    </row>
    <row r="16" spans="1:3" x14ac:dyDescent="0.3">
      <c r="A16" t="str">
        <v>USA</v>
      </c>
      <c r="B16" t="str">
        <v>F-35</v>
      </c>
      <c r="C16" t="str">
        <v>F-35C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65A1-A9D7-4385-A212-22C9E3209522}">
  <dimension ref="A1:O28"/>
  <sheetViews>
    <sheetView tabSelected="1" workbookViewId="0">
      <selection activeCell="H15" sqref="H15"/>
    </sheetView>
  </sheetViews>
  <sheetFormatPr defaultRowHeight="14.4" x14ac:dyDescent="0.3"/>
  <cols>
    <col min="1" max="11" width="15.77734375" customWidth="1"/>
  </cols>
  <sheetData>
    <row r="1" spans="1:15" s="3" customFormat="1" ht="18" x14ac:dyDescent="0.35">
      <c r="A1" s="2" t="s">
        <v>18</v>
      </c>
      <c r="B1" s="2" t="s">
        <v>32</v>
      </c>
      <c r="C1" s="2" t="s">
        <v>14</v>
      </c>
      <c r="D1" s="2" t="s">
        <v>16</v>
      </c>
      <c r="E1" s="2" t="s">
        <v>33</v>
      </c>
      <c r="F1" s="2" t="s">
        <v>15</v>
      </c>
      <c r="G1" s="2" t="s">
        <v>19</v>
      </c>
      <c r="H1" s="2" t="s">
        <v>20</v>
      </c>
      <c r="I1" s="2" t="s">
        <v>7</v>
      </c>
      <c r="J1" s="2" t="s">
        <v>17</v>
      </c>
      <c r="K1" s="2" t="s">
        <v>8</v>
      </c>
      <c r="L1" s="2" t="s">
        <v>9</v>
      </c>
      <c r="M1" s="2" t="s">
        <v>10</v>
      </c>
      <c r="N1" s="2" t="s">
        <v>6</v>
      </c>
      <c r="O1" s="2" t="s">
        <v>11</v>
      </c>
    </row>
    <row r="2" spans="1:15" x14ac:dyDescent="0.3">
      <c r="A2" t="s">
        <v>2</v>
      </c>
      <c r="B2" t="s">
        <v>12</v>
      </c>
      <c r="C2" t="s">
        <v>13</v>
      </c>
      <c r="D2" t="s">
        <v>2</v>
      </c>
      <c r="E2" t="s">
        <v>0</v>
      </c>
      <c r="F2" t="s">
        <v>24</v>
      </c>
      <c r="G2">
        <v>3</v>
      </c>
      <c r="H2">
        <v>3</v>
      </c>
      <c r="I2" t="s">
        <v>30</v>
      </c>
      <c r="J2">
        <v>150</v>
      </c>
      <c r="K2">
        <v>280</v>
      </c>
      <c r="L2">
        <v>265</v>
      </c>
      <c r="M2">
        <v>285</v>
      </c>
    </row>
    <row r="3" spans="1:15" x14ac:dyDescent="0.3">
      <c r="A3" t="s">
        <v>2</v>
      </c>
      <c r="B3" t="s">
        <v>12</v>
      </c>
      <c r="C3" t="s">
        <v>13</v>
      </c>
      <c r="D3" t="s">
        <v>2</v>
      </c>
      <c r="E3" t="s">
        <v>21</v>
      </c>
      <c r="F3" t="s">
        <v>25</v>
      </c>
      <c r="G3">
        <v>3</v>
      </c>
      <c r="H3">
        <v>3</v>
      </c>
      <c r="I3" t="s">
        <v>30</v>
      </c>
    </row>
    <row r="4" spans="1:15" x14ac:dyDescent="0.3">
      <c r="A4" t="s">
        <v>2</v>
      </c>
      <c r="B4" t="s">
        <v>12</v>
      </c>
      <c r="C4" t="s">
        <v>13</v>
      </c>
      <c r="D4" t="s">
        <v>2</v>
      </c>
      <c r="E4" t="s">
        <v>22</v>
      </c>
      <c r="F4" t="s">
        <v>26</v>
      </c>
      <c r="G4">
        <v>3</v>
      </c>
      <c r="H4">
        <v>3</v>
      </c>
      <c r="I4" t="s">
        <v>31</v>
      </c>
    </row>
    <row r="5" spans="1:15" x14ac:dyDescent="0.3">
      <c r="A5" t="s">
        <v>2</v>
      </c>
      <c r="B5" t="s">
        <v>12</v>
      </c>
      <c r="C5" t="s">
        <v>13</v>
      </c>
      <c r="D5" t="s">
        <v>2</v>
      </c>
      <c r="E5" t="s">
        <v>34</v>
      </c>
      <c r="F5" t="s">
        <v>27</v>
      </c>
      <c r="G5">
        <v>3</v>
      </c>
      <c r="H5">
        <v>3</v>
      </c>
      <c r="I5" t="s">
        <v>31</v>
      </c>
    </row>
    <row r="6" spans="1:15" x14ac:dyDescent="0.3">
      <c r="A6" t="s">
        <v>2</v>
      </c>
      <c r="B6" t="s">
        <v>12</v>
      </c>
      <c r="C6" t="s">
        <v>13</v>
      </c>
      <c r="D6" t="s">
        <v>2</v>
      </c>
      <c r="F6" t="s">
        <v>28</v>
      </c>
      <c r="G6">
        <v>3</v>
      </c>
      <c r="H6">
        <v>3</v>
      </c>
      <c r="I6" t="s">
        <v>30</v>
      </c>
    </row>
    <row r="7" spans="1:15" x14ac:dyDescent="0.3">
      <c r="A7" t="s">
        <v>2</v>
      </c>
      <c r="B7" t="s">
        <v>12</v>
      </c>
      <c r="C7" t="s">
        <v>13</v>
      </c>
      <c r="D7" t="s">
        <v>2</v>
      </c>
      <c r="F7" t="s">
        <v>13</v>
      </c>
      <c r="G7">
        <v>3</v>
      </c>
      <c r="H7">
        <v>3</v>
      </c>
      <c r="I7" t="s">
        <v>30</v>
      </c>
    </row>
    <row r="8" spans="1:15" x14ac:dyDescent="0.3">
      <c r="A8" t="s">
        <v>2</v>
      </c>
      <c r="B8" t="s">
        <v>12</v>
      </c>
      <c r="C8" t="s">
        <v>13</v>
      </c>
      <c r="D8" t="s">
        <v>2</v>
      </c>
      <c r="F8" t="s">
        <v>29</v>
      </c>
      <c r="G8">
        <v>3</v>
      </c>
      <c r="H8">
        <v>3</v>
      </c>
      <c r="I8" t="s">
        <v>30</v>
      </c>
    </row>
    <row r="9" spans="1:15" x14ac:dyDescent="0.3">
      <c r="A9" t="s">
        <v>2</v>
      </c>
      <c r="B9" t="s">
        <v>12</v>
      </c>
      <c r="C9" t="s">
        <v>13</v>
      </c>
      <c r="D9" t="s">
        <v>2</v>
      </c>
      <c r="E9" t="s">
        <v>38</v>
      </c>
      <c r="F9" t="s">
        <v>37</v>
      </c>
      <c r="G9">
        <v>3</v>
      </c>
      <c r="H9">
        <v>3</v>
      </c>
      <c r="I9" t="s">
        <v>30</v>
      </c>
      <c r="J9">
        <v>100</v>
      </c>
      <c r="K9">
        <v>270</v>
      </c>
      <c r="L9">
        <v>290</v>
      </c>
      <c r="M9">
        <v>310</v>
      </c>
    </row>
    <row r="10" spans="1:15" x14ac:dyDescent="0.3">
      <c r="A10" t="s">
        <v>2</v>
      </c>
      <c r="B10" t="s">
        <v>12</v>
      </c>
      <c r="C10" t="s">
        <v>13</v>
      </c>
      <c r="D10" t="s">
        <v>2</v>
      </c>
    </row>
    <row r="11" spans="1:15" x14ac:dyDescent="0.3">
      <c r="A11" t="s">
        <v>2</v>
      </c>
      <c r="B11" t="s">
        <v>12</v>
      </c>
      <c r="C11" t="s">
        <v>13</v>
      </c>
      <c r="D11" t="s">
        <v>1</v>
      </c>
      <c r="E11" t="s">
        <v>35</v>
      </c>
      <c r="F11" t="s">
        <v>36</v>
      </c>
      <c r="G11">
        <v>3</v>
      </c>
      <c r="H11">
        <v>2</v>
      </c>
      <c r="I11" t="s">
        <v>30</v>
      </c>
      <c r="J11">
        <v>100</v>
      </c>
      <c r="K11">
        <v>200</v>
      </c>
      <c r="L11">
        <v>190</v>
      </c>
      <c r="M11">
        <v>240</v>
      </c>
    </row>
    <row r="12" spans="1:15" x14ac:dyDescent="0.3">
      <c r="A12" t="s">
        <v>2</v>
      </c>
      <c r="B12" t="s">
        <v>12</v>
      </c>
      <c r="C12" t="s">
        <v>13</v>
      </c>
      <c r="D12" t="s">
        <v>1</v>
      </c>
      <c r="E12" t="s">
        <v>0</v>
      </c>
      <c r="F12" t="s">
        <v>24</v>
      </c>
      <c r="G12">
        <v>3</v>
      </c>
      <c r="H12">
        <v>2</v>
      </c>
      <c r="I12" t="s">
        <v>30</v>
      </c>
      <c r="J12">
        <v>100</v>
      </c>
      <c r="K12">
        <v>270</v>
      </c>
      <c r="L12">
        <v>290</v>
      </c>
      <c r="M12">
        <v>310</v>
      </c>
    </row>
    <row r="13" spans="1:15" x14ac:dyDescent="0.3">
      <c r="A13" t="s">
        <v>2</v>
      </c>
      <c r="B13" t="s">
        <v>12</v>
      </c>
      <c r="C13" t="s">
        <v>13</v>
      </c>
      <c r="D13" t="s">
        <v>1</v>
      </c>
      <c r="E13" t="s">
        <v>38</v>
      </c>
      <c r="F13" t="s">
        <v>37</v>
      </c>
      <c r="G13">
        <v>3</v>
      </c>
      <c r="H13">
        <v>3</v>
      </c>
    </row>
    <row r="14" spans="1:15" x14ac:dyDescent="0.3">
      <c r="A14" t="s">
        <v>2</v>
      </c>
      <c r="B14" t="s">
        <v>12</v>
      </c>
      <c r="C14" t="s">
        <v>13</v>
      </c>
      <c r="D14" t="s">
        <v>1</v>
      </c>
      <c r="E14" t="s">
        <v>39</v>
      </c>
      <c r="F14" t="s">
        <v>47</v>
      </c>
      <c r="G14">
        <v>3</v>
      </c>
      <c r="H14">
        <v>2</v>
      </c>
    </row>
    <row r="15" spans="1:15" x14ac:dyDescent="0.3">
      <c r="A15" t="s">
        <v>2</v>
      </c>
      <c r="B15" t="s">
        <v>12</v>
      </c>
      <c r="C15" t="s">
        <v>13</v>
      </c>
      <c r="D15" t="s">
        <v>1</v>
      </c>
      <c r="E15" t="s">
        <v>40</v>
      </c>
      <c r="F15" t="s">
        <v>41</v>
      </c>
      <c r="G15">
        <v>2</v>
      </c>
      <c r="H15">
        <v>2</v>
      </c>
    </row>
    <row r="16" spans="1:15" x14ac:dyDescent="0.3">
      <c r="A16" t="s">
        <v>2</v>
      </c>
      <c r="B16" t="s">
        <v>12</v>
      </c>
      <c r="C16" t="s">
        <v>13</v>
      </c>
      <c r="D16" t="s">
        <v>1</v>
      </c>
      <c r="E16" t="s">
        <v>42</v>
      </c>
      <c r="F16" t="s">
        <v>43</v>
      </c>
      <c r="G16">
        <v>3</v>
      </c>
      <c r="H16">
        <v>3</v>
      </c>
    </row>
    <row r="17" spans="1:8" x14ac:dyDescent="0.3">
      <c r="A17" t="s">
        <v>2</v>
      </c>
      <c r="B17" t="s">
        <v>12</v>
      </c>
      <c r="C17" t="s">
        <v>13</v>
      </c>
      <c r="D17" t="s">
        <v>1</v>
      </c>
      <c r="E17" t="s">
        <v>45</v>
      </c>
      <c r="F17" t="s">
        <v>44</v>
      </c>
      <c r="G17">
        <v>3</v>
      </c>
      <c r="H17">
        <v>3</v>
      </c>
    </row>
    <row r="18" spans="1:8" x14ac:dyDescent="0.3">
      <c r="A18" t="s">
        <v>2</v>
      </c>
      <c r="B18" t="s">
        <v>12</v>
      </c>
      <c r="C18" t="s">
        <v>13</v>
      </c>
      <c r="D18" t="s">
        <v>1</v>
      </c>
      <c r="E18" t="s">
        <v>23</v>
      </c>
      <c r="F18" t="s">
        <v>46</v>
      </c>
      <c r="G18">
        <v>3</v>
      </c>
      <c r="H18">
        <v>3</v>
      </c>
    </row>
    <row r="19" spans="1:8" x14ac:dyDescent="0.3">
      <c r="A19" t="s">
        <v>2</v>
      </c>
      <c r="B19" t="s">
        <v>12</v>
      </c>
      <c r="C19" t="s">
        <v>13</v>
      </c>
      <c r="D19" t="s">
        <v>1</v>
      </c>
      <c r="E19" t="s">
        <v>23</v>
      </c>
      <c r="F19" t="s">
        <v>48</v>
      </c>
      <c r="G19">
        <v>3</v>
      </c>
      <c r="H19">
        <v>0</v>
      </c>
    </row>
    <row r="20" spans="1:8" x14ac:dyDescent="0.3">
      <c r="A20" t="s">
        <v>2</v>
      </c>
      <c r="B20" t="s">
        <v>12</v>
      </c>
      <c r="C20" t="s">
        <v>13</v>
      </c>
      <c r="D20" t="s">
        <v>1</v>
      </c>
      <c r="E20" t="s">
        <v>23</v>
      </c>
      <c r="F20" t="s">
        <v>49</v>
      </c>
      <c r="G20">
        <v>3</v>
      </c>
      <c r="H20">
        <v>0</v>
      </c>
    </row>
    <row r="21" spans="1:8" x14ac:dyDescent="0.3">
      <c r="A21" t="s">
        <v>2</v>
      </c>
      <c r="B21" t="s">
        <v>12</v>
      </c>
      <c r="C21" t="s">
        <v>13</v>
      </c>
      <c r="D21" t="s">
        <v>1</v>
      </c>
    </row>
    <row r="22" spans="1:8" x14ac:dyDescent="0.3">
      <c r="A22" t="s">
        <v>2</v>
      </c>
      <c r="B22" t="s">
        <v>12</v>
      </c>
      <c r="C22" t="s">
        <v>13</v>
      </c>
    </row>
    <row r="23" spans="1:8" x14ac:dyDescent="0.3">
      <c r="A23" t="s">
        <v>2</v>
      </c>
      <c r="B23" t="s">
        <v>12</v>
      </c>
      <c r="C23" t="s">
        <v>13</v>
      </c>
    </row>
    <row r="24" spans="1:8" x14ac:dyDescent="0.3">
      <c r="A24" t="s">
        <v>2</v>
      </c>
      <c r="B24" t="s">
        <v>12</v>
      </c>
      <c r="C24" t="s">
        <v>13</v>
      </c>
    </row>
    <row r="25" spans="1:8" x14ac:dyDescent="0.3">
      <c r="A25" t="s">
        <v>2</v>
      </c>
      <c r="B25" t="s">
        <v>12</v>
      </c>
      <c r="C25" t="s">
        <v>13</v>
      </c>
    </row>
    <row r="26" spans="1:8" x14ac:dyDescent="0.3">
      <c r="A26" t="s">
        <v>2</v>
      </c>
      <c r="B26" t="s">
        <v>12</v>
      </c>
      <c r="C26" t="s">
        <v>13</v>
      </c>
    </row>
    <row r="27" spans="1:8" x14ac:dyDescent="0.3">
      <c r="A27" t="s">
        <v>2</v>
      </c>
      <c r="B27" t="s">
        <v>12</v>
      </c>
      <c r="C27" t="s">
        <v>13</v>
      </c>
    </row>
    <row r="28" spans="1:8" x14ac:dyDescent="0.3">
      <c r="A28" t="s">
        <v>2</v>
      </c>
      <c r="B28" t="s">
        <v>12</v>
      </c>
      <c r="C28" t="s">
        <v>13</v>
      </c>
    </row>
  </sheetData>
  <phoneticPr fontId="4" type="noConversion"/>
  <conditionalFormatting sqref="A2:F772">
    <cfRule type="expression" dxfId="3" priority="2">
      <formula>COUNTIFS($A:$A,$A2,$B:$B,$B2,$C:$C,$C2,$D:$D,$D2,$E:$E,$E2,$F:$F,$F2)&gt;1</formula>
    </cfRule>
  </conditionalFormatting>
  <conditionalFormatting sqref="A2:N248">
    <cfRule type="containsBlanks" dxfId="2" priority="3">
      <formula>LEN(TRIM(A2))=0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Tankers</vt:lpstr>
      <vt:lpstr>Receivers</vt:lpstr>
      <vt:lpstr>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Westerhout</dc:creator>
  <cp:lastModifiedBy>Eva Westerhout</cp:lastModifiedBy>
  <dcterms:created xsi:type="dcterms:W3CDTF">2025-10-29T11:31:57Z</dcterms:created>
  <dcterms:modified xsi:type="dcterms:W3CDTF">2025-11-13T09:43:09Z</dcterms:modified>
</cp:coreProperties>
</file>